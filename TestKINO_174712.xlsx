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d3bd0bc57a1bce68/Pulpit/"/>
    </mc:Choice>
  </mc:AlternateContent>
  <xr:revisionPtr revIDLastSave="0" documentId="8_{6D21F309-8272-4623-A92F-016D823F6991}" xr6:coauthVersionLast="47" xr6:coauthVersionMax="47" xr10:uidLastSave="{00000000-0000-0000-0000-000000000000}"/>
  <bookViews>
    <workbookView xWindow="-108" yWindow="-108" windowWidth="23256" windowHeight="12456" tabRatio="500" firstSheet="5" activeTab="6" xr2:uid="{00000000-000D-0000-FFFF-FFFF00000000}"/>
  </bookViews>
  <sheets>
    <sheet name="Instrukcja" sheetId="1" r:id="rId1"/>
    <sheet name="Przegląd specyfikacji" sheetId="2" r:id="rId2"/>
    <sheet name="Warunki testowe" sheetId="3" r:id="rId3"/>
    <sheet name="Przypadki testowe" sheetId="4" r:id="rId4"/>
    <sheet name="Macierz śledzenia" sheetId="5" r:id="rId5"/>
    <sheet name="Sesja eksploracyjna" sheetId="6" r:id="rId6"/>
    <sheet name="Raporty defektów" sheetId="7" r:id="rId7"/>
    <sheet name="Lista kontrolna" sheetId="8" r:id="rId8"/>
    <sheet name="Raport z wykonania" sheetId="9" r:id="rId9"/>
  </sheets>
  <definedNames>
    <definedName name="_xlnm._FilterDatabase" localSheetId="7" hidden="1">'Lista kontrolna'!$A$1:$F$1</definedName>
    <definedName name="_xlnm._FilterDatabase" localSheetId="4" hidden="1">'Macierz śledzenia'!$A$1:$I$1</definedName>
    <definedName name="_xlnm._FilterDatabase" localSheetId="1" hidden="1">'Przegląd specyfikacji'!$A$1:$E$1</definedName>
    <definedName name="_xlnm._FilterDatabase" localSheetId="3" hidden="1">'Przypadki testowe'!$A$1:$O$1</definedName>
    <definedName name="_xlnm._FilterDatabase" localSheetId="8" hidden="1">'Raport z wykonania'!$A$1:$C$1</definedName>
    <definedName name="_xlnm._FilterDatabase" localSheetId="6" hidden="1">'Raporty defektów'!$A$1:$Q$1</definedName>
    <definedName name="_xlnm._FilterDatabase" localSheetId="2" hidden="1">'Warunki testowe'!$A$1:$E$1</definedName>
    <definedName name="_xlnm.Print_Titles" localSheetId="7">'Lista kontrolna'!$1:$1</definedName>
    <definedName name="_xlnm.Print_Titles" localSheetId="4">'Macierz śledzenia'!$1:$1</definedName>
    <definedName name="_xlnm.Print_Titles" localSheetId="3">'Przypadki testowe'!$1:$1</definedName>
    <definedName name="_xlnm.Print_Titles" localSheetId="8">'Raport z wykonania'!$1:$1</definedName>
    <definedName name="_xlnm.Print_Titles" localSheetId="6">'Raporty defektów'!$1:$1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7" i="9" l="1"/>
  <c r="B31" i="9"/>
  <c r="B24" i="9"/>
  <c r="B23" i="9"/>
  <c r="B22" i="9"/>
  <c r="B21" i="9"/>
  <c r="B17" i="9"/>
  <c r="B13" i="9"/>
  <c r="B12" i="9"/>
  <c r="B11" i="9"/>
  <c r="B10" i="9"/>
  <c r="B9" i="9"/>
  <c r="B8" i="9"/>
  <c r="H120" i="5"/>
  <c r="G120" i="5"/>
  <c r="F120" i="5"/>
  <c r="E120" i="5"/>
  <c r="H119" i="5"/>
  <c r="G119" i="5"/>
  <c r="F119" i="5"/>
  <c r="E119" i="5"/>
  <c r="H118" i="5"/>
  <c r="G118" i="5"/>
  <c r="F118" i="5"/>
  <c r="E118" i="5"/>
  <c r="H117" i="5"/>
  <c r="G117" i="5"/>
  <c r="F117" i="5"/>
  <c r="E117" i="5"/>
  <c r="H116" i="5"/>
  <c r="G116" i="5"/>
  <c r="F116" i="5"/>
  <c r="E116" i="5"/>
  <c r="H115" i="5"/>
  <c r="G115" i="5"/>
  <c r="F115" i="5"/>
  <c r="E115" i="5"/>
  <c r="H114" i="5"/>
  <c r="G114" i="5"/>
  <c r="F114" i="5"/>
  <c r="E114" i="5"/>
  <c r="H113" i="5"/>
  <c r="G113" i="5"/>
  <c r="F113" i="5"/>
  <c r="E113" i="5"/>
  <c r="H112" i="5"/>
  <c r="G112" i="5"/>
  <c r="F112" i="5"/>
  <c r="E112" i="5"/>
  <c r="H111" i="5"/>
  <c r="G111" i="5"/>
  <c r="F111" i="5"/>
  <c r="E111" i="5"/>
  <c r="H110" i="5"/>
  <c r="G110" i="5"/>
  <c r="F110" i="5"/>
  <c r="E110" i="5"/>
  <c r="H109" i="5"/>
  <c r="G109" i="5"/>
  <c r="F109" i="5"/>
  <c r="E109" i="5"/>
  <c r="H108" i="5"/>
  <c r="G108" i="5"/>
  <c r="F108" i="5"/>
  <c r="E108" i="5"/>
  <c r="H107" i="5"/>
  <c r="G107" i="5"/>
  <c r="F107" i="5"/>
  <c r="E107" i="5"/>
  <c r="H106" i="5"/>
  <c r="G106" i="5"/>
  <c r="F106" i="5"/>
  <c r="E106" i="5"/>
  <c r="H105" i="5"/>
  <c r="G105" i="5"/>
  <c r="F105" i="5"/>
  <c r="E105" i="5"/>
  <c r="H104" i="5"/>
  <c r="G104" i="5"/>
  <c r="F104" i="5"/>
  <c r="E104" i="5"/>
  <c r="H103" i="5"/>
  <c r="G103" i="5"/>
  <c r="F103" i="5"/>
  <c r="E103" i="5"/>
  <c r="H102" i="5"/>
  <c r="G102" i="5"/>
  <c r="F102" i="5"/>
  <c r="E102" i="5"/>
  <c r="H101" i="5"/>
  <c r="G101" i="5"/>
  <c r="F101" i="5"/>
  <c r="E101" i="5"/>
  <c r="H100" i="5"/>
  <c r="G100" i="5"/>
  <c r="F100" i="5"/>
  <c r="E100" i="5"/>
  <c r="H99" i="5"/>
  <c r="G99" i="5"/>
  <c r="F99" i="5"/>
  <c r="E99" i="5"/>
  <c r="H98" i="5"/>
  <c r="G98" i="5"/>
  <c r="F98" i="5"/>
  <c r="E98" i="5"/>
  <c r="H97" i="5"/>
  <c r="G97" i="5"/>
  <c r="F97" i="5"/>
  <c r="E97" i="5"/>
  <c r="H96" i="5"/>
  <c r="G96" i="5"/>
  <c r="F96" i="5"/>
  <c r="E96" i="5"/>
  <c r="H95" i="5"/>
  <c r="G95" i="5"/>
  <c r="F95" i="5"/>
  <c r="E95" i="5"/>
  <c r="H94" i="5"/>
  <c r="G94" i="5"/>
  <c r="F94" i="5"/>
  <c r="E94" i="5"/>
  <c r="H93" i="5"/>
  <c r="G93" i="5"/>
  <c r="F93" i="5"/>
  <c r="E93" i="5"/>
  <c r="H92" i="5"/>
  <c r="G92" i="5"/>
  <c r="F92" i="5"/>
  <c r="E92" i="5"/>
  <c r="H91" i="5"/>
  <c r="G91" i="5"/>
  <c r="F91" i="5"/>
  <c r="E91" i="5"/>
  <c r="H90" i="5"/>
  <c r="G90" i="5"/>
  <c r="F90" i="5"/>
  <c r="E90" i="5"/>
  <c r="H89" i="5"/>
  <c r="G89" i="5"/>
  <c r="F89" i="5"/>
  <c r="E89" i="5"/>
  <c r="H88" i="5"/>
  <c r="G88" i="5"/>
  <c r="F88" i="5"/>
  <c r="E88" i="5"/>
  <c r="H87" i="5"/>
  <c r="G87" i="5"/>
  <c r="F87" i="5"/>
  <c r="E87" i="5"/>
  <c r="H86" i="5"/>
  <c r="G86" i="5"/>
  <c r="F86" i="5"/>
  <c r="E86" i="5"/>
  <c r="H85" i="5"/>
  <c r="G85" i="5"/>
  <c r="F85" i="5"/>
  <c r="E85" i="5"/>
  <c r="H84" i="5"/>
  <c r="G84" i="5"/>
  <c r="F84" i="5"/>
  <c r="E84" i="5"/>
  <c r="H83" i="5"/>
  <c r="G83" i="5"/>
  <c r="F83" i="5"/>
  <c r="E83" i="5"/>
  <c r="H82" i="5"/>
  <c r="G82" i="5"/>
  <c r="F82" i="5"/>
  <c r="E82" i="5"/>
  <c r="H81" i="5"/>
  <c r="G81" i="5"/>
  <c r="F81" i="5"/>
  <c r="E81" i="5"/>
  <c r="H80" i="5"/>
  <c r="G80" i="5"/>
  <c r="F80" i="5"/>
  <c r="E80" i="5"/>
  <c r="H79" i="5"/>
  <c r="G79" i="5"/>
  <c r="F79" i="5"/>
  <c r="E79" i="5"/>
  <c r="H78" i="5"/>
  <c r="G78" i="5"/>
  <c r="F78" i="5"/>
  <c r="E78" i="5"/>
  <c r="H77" i="5"/>
  <c r="G77" i="5"/>
  <c r="F77" i="5"/>
  <c r="E77" i="5"/>
  <c r="H76" i="5"/>
  <c r="G76" i="5"/>
  <c r="F76" i="5"/>
  <c r="E76" i="5"/>
  <c r="H75" i="5"/>
  <c r="G75" i="5"/>
  <c r="F75" i="5"/>
  <c r="E75" i="5"/>
  <c r="H74" i="5"/>
  <c r="G74" i="5"/>
  <c r="F74" i="5"/>
  <c r="E74" i="5"/>
  <c r="H73" i="5"/>
  <c r="G73" i="5"/>
  <c r="F73" i="5"/>
  <c r="E73" i="5"/>
  <c r="H72" i="5"/>
  <c r="G72" i="5"/>
  <c r="F72" i="5"/>
  <c r="E72" i="5"/>
  <c r="H71" i="5"/>
  <c r="G71" i="5"/>
  <c r="F71" i="5"/>
  <c r="E71" i="5"/>
  <c r="H70" i="5"/>
  <c r="G70" i="5"/>
  <c r="F70" i="5"/>
  <c r="E70" i="5"/>
  <c r="H69" i="5"/>
  <c r="G69" i="5"/>
  <c r="F69" i="5"/>
  <c r="E69" i="5"/>
  <c r="H68" i="5"/>
  <c r="G68" i="5"/>
  <c r="F68" i="5"/>
  <c r="E68" i="5"/>
  <c r="H67" i="5"/>
  <c r="G67" i="5"/>
  <c r="F67" i="5"/>
  <c r="E67" i="5"/>
  <c r="H66" i="5"/>
  <c r="G66" i="5"/>
  <c r="F66" i="5"/>
  <c r="E66" i="5"/>
  <c r="H65" i="5"/>
  <c r="G65" i="5"/>
  <c r="F65" i="5"/>
  <c r="E65" i="5"/>
  <c r="H64" i="5"/>
  <c r="G64" i="5"/>
  <c r="F64" i="5"/>
  <c r="E64" i="5"/>
  <c r="H63" i="5"/>
  <c r="G63" i="5"/>
  <c r="F63" i="5"/>
  <c r="E63" i="5"/>
  <c r="H62" i="5"/>
  <c r="G62" i="5"/>
  <c r="F62" i="5"/>
  <c r="E62" i="5"/>
  <c r="H61" i="5"/>
  <c r="G61" i="5"/>
  <c r="F61" i="5"/>
  <c r="E61" i="5"/>
  <c r="H60" i="5"/>
  <c r="G60" i="5"/>
  <c r="F60" i="5"/>
  <c r="E60" i="5"/>
  <c r="H59" i="5"/>
  <c r="G59" i="5"/>
  <c r="F59" i="5"/>
  <c r="E59" i="5"/>
  <c r="H58" i="5"/>
  <c r="G58" i="5"/>
  <c r="F58" i="5"/>
  <c r="E58" i="5"/>
  <c r="H57" i="5"/>
  <c r="G57" i="5"/>
  <c r="F57" i="5"/>
  <c r="E57" i="5"/>
  <c r="H56" i="5"/>
  <c r="G56" i="5"/>
  <c r="F56" i="5"/>
  <c r="E56" i="5"/>
  <c r="H55" i="5"/>
  <c r="G55" i="5"/>
  <c r="F55" i="5"/>
  <c r="E55" i="5"/>
  <c r="H54" i="5"/>
  <c r="G54" i="5"/>
  <c r="F54" i="5"/>
  <c r="E54" i="5"/>
  <c r="H53" i="5"/>
  <c r="G53" i="5"/>
  <c r="F53" i="5"/>
  <c r="E53" i="5"/>
  <c r="H52" i="5"/>
  <c r="G52" i="5"/>
  <c r="F52" i="5"/>
  <c r="E52" i="5"/>
  <c r="H51" i="5"/>
  <c r="G51" i="5"/>
  <c r="F51" i="5"/>
  <c r="E51" i="5"/>
  <c r="H50" i="5"/>
  <c r="G50" i="5"/>
  <c r="F50" i="5"/>
  <c r="E50" i="5"/>
  <c r="H49" i="5"/>
  <c r="G49" i="5"/>
  <c r="F49" i="5"/>
  <c r="E49" i="5"/>
  <c r="H48" i="5"/>
  <c r="G48" i="5"/>
  <c r="F48" i="5"/>
  <c r="E48" i="5"/>
  <c r="H47" i="5"/>
  <c r="G47" i="5"/>
  <c r="F47" i="5"/>
  <c r="E47" i="5"/>
  <c r="H46" i="5"/>
  <c r="G46" i="5"/>
  <c r="F46" i="5"/>
  <c r="E46" i="5"/>
  <c r="H45" i="5"/>
  <c r="G45" i="5"/>
  <c r="F45" i="5"/>
  <c r="E45" i="5"/>
  <c r="H44" i="5"/>
  <c r="G44" i="5"/>
  <c r="F44" i="5"/>
  <c r="E44" i="5"/>
  <c r="H43" i="5"/>
  <c r="G43" i="5"/>
  <c r="F43" i="5"/>
  <c r="E43" i="5"/>
  <c r="H42" i="5"/>
  <c r="G42" i="5"/>
  <c r="F42" i="5"/>
  <c r="E42" i="5"/>
  <c r="H41" i="5"/>
  <c r="G41" i="5"/>
  <c r="F41" i="5"/>
  <c r="E41" i="5"/>
  <c r="H40" i="5"/>
  <c r="G40" i="5"/>
  <c r="F40" i="5"/>
  <c r="E40" i="5"/>
  <c r="H39" i="5"/>
  <c r="G39" i="5"/>
  <c r="F39" i="5"/>
  <c r="E39" i="5"/>
  <c r="H38" i="5"/>
  <c r="G38" i="5"/>
  <c r="F38" i="5"/>
  <c r="E38" i="5"/>
  <c r="H37" i="5"/>
  <c r="G37" i="5"/>
  <c r="F37" i="5"/>
  <c r="E37" i="5"/>
  <c r="H36" i="5"/>
  <c r="G36" i="5"/>
  <c r="F36" i="5"/>
  <c r="E36" i="5"/>
  <c r="H35" i="5"/>
  <c r="G35" i="5"/>
  <c r="F35" i="5"/>
  <c r="E35" i="5"/>
  <c r="H34" i="5"/>
  <c r="G34" i="5"/>
  <c r="F34" i="5"/>
  <c r="E34" i="5"/>
  <c r="H33" i="5"/>
  <c r="G33" i="5"/>
  <c r="F33" i="5"/>
  <c r="E33" i="5"/>
  <c r="H32" i="5"/>
  <c r="G32" i="5"/>
  <c r="F32" i="5"/>
  <c r="E32" i="5"/>
  <c r="H31" i="5"/>
  <c r="G31" i="5"/>
  <c r="F31" i="5"/>
  <c r="E31" i="5"/>
  <c r="H30" i="5"/>
  <c r="G30" i="5"/>
  <c r="F30" i="5"/>
  <c r="E30" i="5"/>
  <c r="H29" i="5"/>
  <c r="G29" i="5"/>
  <c r="F29" i="5"/>
  <c r="E29" i="5"/>
  <c r="H28" i="5"/>
  <c r="G28" i="5"/>
  <c r="F28" i="5"/>
  <c r="E28" i="5"/>
  <c r="H27" i="5"/>
  <c r="G27" i="5"/>
  <c r="F27" i="5"/>
  <c r="E27" i="5"/>
  <c r="H26" i="5"/>
  <c r="G26" i="5"/>
  <c r="F26" i="5"/>
  <c r="E26" i="5"/>
  <c r="H25" i="5"/>
  <c r="G25" i="5"/>
  <c r="F25" i="5"/>
  <c r="E25" i="5"/>
  <c r="H24" i="5"/>
  <c r="G24" i="5"/>
  <c r="F24" i="5"/>
  <c r="E24" i="5"/>
  <c r="H23" i="5"/>
  <c r="G23" i="5"/>
  <c r="F23" i="5"/>
  <c r="E23" i="5"/>
  <c r="H22" i="5"/>
  <c r="G22" i="5"/>
  <c r="F22" i="5"/>
  <c r="E22" i="5"/>
  <c r="H21" i="5"/>
  <c r="G21" i="5"/>
  <c r="F21" i="5"/>
  <c r="E21" i="5"/>
  <c r="H20" i="5"/>
  <c r="G20" i="5"/>
  <c r="F20" i="5"/>
  <c r="E20" i="5"/>
  <c r="H19" i="5"/>
  <c r="G19" i="5"/>
  <c r="F19" i="5"/>
  <c r="E19" i="5"/>
  <c r="H18" i="5"/>
  <c r="G18" i="5"/>
  <c r="F18" i="5"/>
  <c r="E18" i="5"/>
  <c r="H17" i="5"/>
  <c r="G17" i="5"/>
  <c r="F17" i="5"/>
  <c r="E17" i="5"/>
  <c r="F16" i="5"/>
  <c r="H16" i="5"/>
  <c r="G15" i="5"/>
  <c r="F15" i="5"/>
  <c r="E15" i="5"/>
  <c r="H15" i="5" s="1"/>
  <c r="G14" i="5"/>
  <c r="F14" i="5"/>
  <c r="E14" i="5"/>
  <c r="H14" i="5" s="1"/>
  <c r="G13" i="5"/>
  <c r="F13" i="5"/>
  <c r="E13" i="5"/>
  <c r="H13" i="5" s="1"/>
  <c r="G12" i="5"/>
  <c r="F12" i="5"/>
  <c r="E12" i="5"/>
  <c r="H12" i="5" s="1"/>
  <c r="G11" i="5"/>
  <c r="F11" i="5"/>
  <c r="E11" i="5"/>
  <c r="H11" i="5" s="1"/>
  <c r="G10" i="5"/>
  <c r="F10" i="5"/>
  <c r="E10" i="5"/>
  <c r="H10" i="5" s="1"/>
  <c r="G9" i="5"/>
  <c r="F9" i="5"/>
  <c r="E9" i="5"/>
  <c r="H9" i="5" s="1"/>
  <c r="G8" i="5"/>
  <c r="F8" i="5"/>
  <c r="E8" i="5"/>
  <c r="H8" i="5" s="1"/>
  <c r="F7" i="5"/>
  <c r="H7" i="5"/>
  <c r="G6" i="5"/>
  <c r="F6" i="5"/>
  <c r="E6" i="5"/>
  <c r="H6" i="5" s="1"/>
  <c r="G5" i="5"/>
  <c r="F5" i="5"/>
  <c r="E5" i="5"/>
  <c r="H5" i="5" s="1"/>
  <c r="G4" i="5"/>
  <c r="F4" i="5"/>
  <c r="E4" i="5"/>
  <c r="H4" i="5" s="1"/>
  <c r="G3" i="5"/>
  <c r="F3" i="5"/>
  <c r="E3" i="5"/>
  <c r="H3" i="5" s="1"/>
  <c r="G2" i="5"/>
  <c r="F2" i="5"/>
  <c r="E2" i="5"/>
  <c r="H2" i="5" s="1"/>
  <c r="B14" i="9" l="1"/>
  <c r="B15" i="9"/>
  <c r="B18" i="9"/>
  <c r="B19" i="9" s="1"/>
</calcChain>
</file>

<file path=xl/sharedStrings.xml><?xml version="1.0" encoding="utf-8"?>
<sst xmlns="http://schemas.openxmlformats.org/spreadsheetml/2006/main" count="997" uniqueCount="596">
  <si>
    <t>Szablon dokumentacji testowej</t>
  </si>
  <si>
    <t>Testowanie oprogramowania – ćwiczenia 1 (na podstawie ISO/IEC/IEEE 29119-3 i sylabusa ISTQB CTFL 4.0)</t>
  </si>
  <si>
    <t>Autor (imię, nazwisko, nr albumu)</t>
  </si>
  <si>
    <t>Grupa / data</t>
  </si>
  <si>
    <t>Przedmiot testów</t>
  </si>
  <si>
    <t>KinoTO 1.0 – formularz zakupu biletów (specyfikacja: specyfikacja_KinoTO.md; obiekt do wykonywania testów: Symulator_KinoTO.xlsx)</t>
  </si>
  <si>
    <t>ARKUSZE</t>
  </si>
  <si>
    <t>Przegląd specyfikacji</t>
  </si>
  <si>
    <t>Wynik testowania statycznego: jeden wiersz = jeden problem w specyfikacji (z ID wymagania, rodzajem problemu i pytaniem do autora).</t>
  </si>
  <si>
    <t>Warunki testowe</t>
  </si>
  <si>
    <t>Wynik analizy: CO testujemy. ID w formacie WT-&lt;obszar&gt;-&lt;nr&gt;, np. WT-FRM-01; podaj wymaganie i priorytet.</t>
  </si>
  <si>
    <t>Przypadki testowe</t>
  </si>
  <si>
    <t>Specyfikacja przypadków testowych: jeden wiersz = jeden przypadek. ID w formacie TC-&lt;obszar&gt;-&lt;nr&gt;, np. TC-FRM-001. Kolumnę „Wymaganie” wypełnij identyfikatorami REQ-… (kilka – po przecinku).</t>
  </si>
  <si>
    <t>Macierz śledzenia</t>
  </si>
  <si>
    <t>Jeden wiersz = jedno wymaganie (ID i skrót są już wpisane). Uzupełnij priorytet i ID przypadków. Kolumny „Liczba przypadków”, „Zaliczone”, „Niezaliczone” i „Pokrycie” liczą się same.</t>
  </si>
  <si>
    <t>Sesja eksploracyjna</t>
  </si>
  <si>
    <t>Karta sesji (cel, czas) i notatki z sesji: co sprawdzono, co zaobserwowano, ocena obserwacji.</t>
  </si>
  <si>
    <t>Raporty defektów</t>
  </si>
  <si>
    <t>Jeden wiersz = jeden raport o defekcie (ID: DEF-&lt;nr&gt;). Kroki muszą pozwolić odtworzyć awarię innej osobie. Zrzut ekranu (opcjonalnie): Win+Shift+S, zapisz jako DEF-&lt;nr&gt;.png.</t>
  </si>
  <si>
    <t>Lista kontrolna</t>
  </si>
  <si>
    <t>Pozycje formułuj jako pytania, na które odpowiedź „Tak” oznacza stan poprawny. Wynik „Nie” → wpisz dowód i (jeśli to defekt) ID raportu.</t>
  </si>
  <si>
    <t>Raport z wykonania</t>
  </si>
  <si>
    <t>Podsumowanie testów. Liczby w kolumnie „Wartość” wyliczają się automatycznie – uzupełnij pola opisowe.</t>
  </si>
  <si>
    <t>STATUS PRZYPADKU</t>
  </si>
  <si>
    <t>Nie wykonano – jeszcze nie uruchomiony; Zaliczony – rzeczywisty rezultat = oczekiwany; Niezaliczony – rozbieżność (wpisz ID defektu); Zablokowany – nie da się wykonać (np. brak środowiska, inny defekt); Pominięty – świadomie nie wykonano (podaj powód w uwagach).</t>
  </si>
  <si>
    <t>WAŻNOŚĆ (severity)</t>
  </si>
  <si>
    <t>Wpływ defektu na system/użytkownika: Krytyczna – awaria uniemożliwia korzystanie z kluczowej funkcji, utrata danych, bezpieczeństwo; Wysoka – ważna funkcja działa błędnie, brak obejścia; Średnia – błąd z obejściem lub w mniej ważnej funkcji; Niska – kosmetyka, literówki, drobne niedogodności.</t>
  </si>
  <si>
    <t>PRIORYTET (priority)</t>
  </si>
  <si>
    <t>Pilność naprawy z punktu widzenia biznesu: Wysoki – naprawić natychmiast / przed wydaniem; Średni – w najbliższym cyklu; Niski – gdy będzie czas. Ważność i priorytet to dwie różne oceny (np. literówka w nazwie firmy na stronie głównej: niska ważność, wysoki priorytet).</t>
  </si>
  <si>
    <t>CYKL ŻYCIA DEFEKTU</t>
  </si>
  <si>
    <t>Nowy → Otwarty → W naprawie → Naprawiony → Do retestu → Zamknięty; ewentualnie Odrzucony (to nie defekt / nie do odtworzenia), Odroczony (naprawa później), Ponownie otwarty (retest nieudany).</t>
  </si>
  <si>
    <t>TECHNIKA</t>
  </si>
  <si>
    <t>EP – podział na klasy równoważności; AWB – analiza wartości brzegowych; Doświadczenie – zgadywanie błędów, testowanie eksploracyjne; Na podstawie wymagania – test wyprowadzony wprost z treści wymagania.</t>
  </si>
  <si>
    <t>Wiersze przykładowe</t>
  </si>
  <si>
    <t>Wiersze wyróżnione żółtym tłem są przykładami – usuń je lub zastąp własnymi przed oddaniem.</t>
  </si>
  <si>
    <t>Nr</t>
  </si>
  <si>
    <t>Wymaganie (REQ-…)</t>
  </si>
  <si>
    <t>Rodzaj problemu</t>
  </si>
  <si>
    <t>Opis problemu</t>
  </si>
  <si>
    <t>Pytanie do autora / propozycja</t>
  </si>
  <si>
    <t>REQ-FRM-05</t>
  </si>
  <si>
    <t>Niejednoznaczność</t>
  </si>
  <si>
    <t>„Liczba całkowita” – nie wiadomo, czy 2,0 lub puste pole są błędem.</t>
  </si>
  <si>
    <t>Czy 2,0 i puste pole mają dawać komunikat z REQ-FRM-05? (PRZYKŁAD – usuń lub zastąp)</t>
  </si>
  <si>
    <t>ID</t>
  </si>
  <si>
    <t>Warunek testowy (CO sprawdzamy)</t>
  </si>
  <si>
    <t>Priorytet</t>
  </si>
  <si>
    <t>Uwagi</t>
  </si>
  <si>
    <t>WT-FRM-01</t>
  </si>
  <si>
    <t>Minimalna długość imienia (2 znaki)</t>
  </si>
  <si>
    <t>REQ-FRM-02</t>
  </si>
  <si>
    <t>Średni</t>
  </si>
  <si>
    <t>PRZYKŁAD – usuń lub zastąp</t>
  </si>
  <si>
    <t>Tytuł</t>
  </si>
  <si>
    <t>Technika</t>
  </si>
  <si>
    <t>Warunki wstępne</t>
  </si>
  <si>
    <t>Dane testowe</t>
  </si>
  <si>
    <t>Kroki</t>
  </si>
  <si>
    <t>Oczekiwany rezultat</t>
  </si>
  <si>
    <t>Rzeczywisty rezultat</t>
  </si>
  <si>
    <t>Status</t>
  </si>
  <si>
    <t>ID defektu</t>
  </si>
  <si>
    <t>Wykonał</t>
  </si>
  <si>
    <t>Data wykonania</t>
  </si>
  <si>
    <t>TC-FRM-001</t>
  </si>
  <si>
    <t>Zakup z poprawnymi danymi (bez karty i kodu)</t>
  </si>
  <si>
    <t>EP</t>
  </si>
  <si>
    <t>Wysoki</t>
  </si>
  <si>
    <t>1. Otwarty Symulator_KinoTO.xlsx.
2. Wszystkie żółte pola puste, karta: Nie.</t>
  </si>
  <si>
    <t>imię: Anna
e-mail: anna@example.com
wiek: 30
liczba biletów: 2
kod: (puste)
karta: Nie</t>
  </si>
  <si>
    <t>1. Wpisz dane testowe w żółte pola.
2. Odczytaj sekcje „Komunikaty” i „Podsumowanie”.</t>
  </si>
  <si>
    <t>Brak komunikatów o błędach; cena biletu 30,00 zł; rabat 0%; opłata 2,00 zł; do zapłaty 62,00 zł; „Dziękujemy za zakup!”.</t>
  </si>
  <si>
    <t>Nie wykonano</t>
  </si>
  <si>
    <t>ID wymagania</t>
  </si>
  <si>
    <t>Wymaganie (skrót)</t>
  </si>
  <si>
    <t>Przypadki testowe (ID)</t>
  </si>
  <si>
    <t>Liczba przypadków</t>
  </si>
  <si>
    <t>Zaliczone</t>
  </si>
  <si>
    <t>Niezaliczone</t>
  </si>
  <si>
    <t>Pokrycie</t>
  </si>
  <si>
    <t>REQ-FRM-01</t>
  </si>
  <si>
    <t>Pola formularza i przycisk „Kup”</t>
  </si>
  <si>
    <t>Imię 2–30 znaków: litery, spacja, myślnik</t>
  </si>
  <si>
    <t>REQ-FRM-03</t>
  </si>
  <si>
    <t>Poprawny adres e-mail</t>
  </si>
  <si>
    <t>REQ-FRM-04</t>
  </si>
  <si>
    <t>Wiek: liczba całkowita 1–120</t>
  </si>
  <si>
    <t>Liczba biletów: liczba całkowita 1–10</t>
  </si>
  <si>
    <t>REQ-FRM-06</t>
  </si>
  <si>
    <t>Kod promocyjny opcjonalny</t>
  </si>
  <si>
    <t>REQ-FRM-07</t>
  </si>
  <si>
    <t>Lista wszystkich błędów, brak zakupu</t>
  </si>
  <si>
    <t>REQ-FRM-08</t>
  </si>
  <si>
    <t>Podsumowanie i „Dziękujemy za zakup!”</t>
  </si>
  <si>
    <t>REQ-CEN-01</t>
  </si>
  <si>
    <t>Bilet normalny 30,00 zł</t>
  </si>
  <si>
    <t>REQ-CEN-02</t>
  </si>
  <si>
    <t>Ulga 50%: wiek &lt; 18 lub ≥ 65</t>
  </si>
  <si>
    <t>REQ-CEN-03</t>
  </si>
  <si>
    <t>Rabat 15% / 10% / 0% (karta, kod)</t>
  </si>
  <si>
    <t>REQ-CEN-04</t>
  </si>
  <si>
    <t>Kod KINO10, wielkość liter bez znaczenia</t>
  </si>
  <si>
    <t>REQ-CEN-05</t>
  </si>
  <si>
    <t>Opłata 2,00 zł; bez opłaty: karta lub ≥ 100,00 zł</t>
  </si>
  <si>
    <t>REQ-CEN-06</t>
  </si>
  <si>
    <t>Wzór kwoty do zapłaty, zaokrąglenie</t>
  </si>
  <si>
    <t>REQ-CEN-07</t>
  </si>
  <si>
    <t>Format kwot „0,00 zł”</t>
  </si>
  <si>
    <t>Karta sesji</t>
  </si>
  <si>
    <t>S1</t>
  </si>
  <si>
    <t>Zbadaj</t>
  </si>
  <si>
    <t>Symulator KinoTO (Symulator_KinoTO.xlsx) – cały formularz i podsumowanie</t>
  </si>
  <si>
    <t>Używając</t>
  </si>
  <si>
    <t>nietypowych danych: puste pola, spacje, liczby ujemne i ułamkowe, bardzo długie teksty, polskie znaki, różna wielkość liter, kombinacje karty i kodu</t>
  </si>
  <si>
    <t>Aby</t>
  </si>
  <si>
    <t>znaleźć defekty walidacji, wyliczania ceny i prezentacji wyników</t>
  </si>
  <si>
    <t>Czas</t>
  </si>
  <si>
    <t>20 minut</t>
  </si>
  <si>
    <t>Tester</t>
  </si>
  <si>
    <t>Data</t>
  </si>
  <si>
    <t>Co sprawdzono (dane wejściowe)</t>
  </si>
  <si>
    <t>Obserwacja (co się stało)</t>
  </si>
  <si>
    <t>Ocena</t>
  </si>
  <si>
    <t>ID raportu / pytania</t>
  </si>
  <si>
    <t>Czas [min]</t>
  </si>
  <si>
    <t>Wiek: −5, reszta poprawna</t>
  </si>
  <si>
    <t>Komunikat „Podaj wiek od 1 do 120.”, brak podsumowania</t>
  </si>
  <si>
    <t>OK</t>
  </si>
  <si>
    <t>2  (PRZYKŁAD)</t>
  </si>
  <si>
    <t>Tytuł (krótki opis awarii)</t>
  </si>
  <si>
    <t>Zgłaszający</t>
  </si>
  <si>
    <t>Obiekt testów / URL</t>
  </si>
  <si>
    <t>Środowisko</t>
  </si>
  <si>
    <t>Kroki do odtworzenia</t>
  </si>
  <si>
    <t>Ważność</t>
  </si>
  <si>
    <t>Powtarzalność</t>
  </si>
  <si>
    <t>Powiązany przypadek / wymaganie</t>
  </si>
  <si>
    <t>Załączniki</t>
  </si>
  <si>
    <t>DEF-001</t>
  </si>
  <si>
    <t>2026-10-06</t>
  </si>
  <si>
    <t>J. Kowalski</t>
  </si>
  <si>
    <t>Wysoka</t>
  </si>
  <si>
    <t>Zawsze</t>
  </si>
  <si>
    <t>Nowy</t>
  </si>
  <si>
    <t>TC-BMI-004</t>
  </si>
  <si>
    <t>DEF-001.png</t>
  </si>
  <si>
    <t>Obszar</t>
  </si>
  <si>
    <t>Pozycja kontrolna (pytanie; „Tak” = OK)</t>
  </si>
  <si>
    <t>Wynik</t>
  </si>
  <si>
    <t>Uwagi / dowód</t>
  </si>
  <si>
    <t>CHK-01</t>
  </si>
  <si>
    <t>Pozycja</t>
  </si>
  <si>
    <t>Wartość</t>
  </si>
  <si>
    <t>Komentarz</t>
  </si>
  <si>
    <t>IDENTYFIKACJA</t>
  </si>
  <si>
    <t>Identyfikator raportu</t>
  </si>
  <si>
    <t>Obiekt testów</t>
  </si>
  <si>
    <t>Okres testów</t>
  </si>
  <si>
    <t>Autor</t>
  </si>
  <si>
    <t>PRZYPADKI TESTOWE</t>
  </si>
  <si>
    <t>Zaprojektowane przypadki testowe</t>
  </si>
  <si>
    <t>Zablokowane</t>
  </si>
  <si>
    <t>Pominięte</t>
  </si>
  <si>
    <t>% wykonanych (zaliczone + niezaliczone)</t>
  </si>
  <si>
    <t>% zaliczonych spośród wykonanych</t>
  </si>
  <si>
    <t>WYMAGANIA (MACIERZ ŚLEDZENIA)</t>
  </si>
  <si>
    <t>Wymagania w macierzy</t>
  </si>
  <si>
    <t>Wymagania pokryte przypadkami</t>
  </si>
  <si>
    <t>% pokrycia wymagań</t>
  </si>
  <si>
    <t>LISTA KONTROLNA</t>
  </si>
  <si>
    <t>Pozycje listy kontrolnej</t>
  </si>
  <si>
    <t>Wynik „Tak”</t>
  </si>
  <si>
    <t>Wynik „Nie”</t>
  </si>
  <si>
    <t>Nie dotyczy / nie sprawdzono</t>
  </si>
  <si>
    <t>DEFEKTY</t>
  </si>
  <si>
    <t>Zgłoszone defekty</t>
  </si>
  <si>
    <t>– krytyczne</t>
  </si>
  <si>
    <t>– wysokie</t>
  </si>
  <si>
    <t>– średnie</t>
  </si>
  <si>
    <t>– niskie</t>
  </si>
  <si>
    <t>Otwarte (bez Zamknięty i Odrzucony)</t>
  </si>
  <si>
    <t>OCENA</t>
  </si>
  <si>
    <t>Zakres wykonanych prac i odstępstwa od planu</t>
  </si>
  <si>
    <t>Najważniejsze problemy i ryzyka</t>
  </si>
  <si>
    <t>Kryteria wyjścia spełnione?</t>
  </si>
  <si>
    <t>Rekomendacja</t>
  </si>
  <si>
    <t>Wnioski na przyszłość (lessons learned)</t>
  </si>
  <si>
    <t>Kacper Mederski 174712</t>
  </si>
  <si>
    <t>IO2 07.10.2026</t>
  </si>
  <si>
    <t>Ryzyko biznesowe / Niespójność logiczna</t>
  </si>
  <si>
    <t>Niespójność interakcji</t>
  </si>
  <si>
    <t>REQ-CEN-04, REQ-FRM-07</t>
  </si>
  <si>
    <t>Wymaganie: „Ulga przysługuje, gdy kupujący ma mniej niż 18 lat lub co najmniej 65 lat. Wszystkie bilety w zamówieniu są tego samego rodzaju.” Sprawia to, że rodzic (np. 35 lat) kupujący bilety dla dzieci nie może kupić biletów ulgowych, a senior (70 lat) kupujący 10 biletów dla dorosłych kupi wszystkie z ulgą 50%.</t>
  </si>
  <si>
    <t>REQ-CEN-04 podaje, że przy błędnym kodzie pojawia się „Nieprawidłowy kod – pominięto”, a zakup jest kontynuowany. REQ-FRM-07 mówi: „Przy błędnych danych wyświetlana jest lista wszystkich błędów (...), a zakup nie jest realizowany”.</t>
  </si>
  <si>
    <t>Wymaganie stanowi: „wartość biletów przed rabatem wynosi co najmniej 100,00 zł”. W słowniku: „Wartość biletów – liczba biletów × cena biletu”. Nie sprecyzowano, czy „cena biletu” oznacza cenę bazową (30 zł), czy cenę po uldze wiekowej (15 zł).</t>
  </si>
  <si>
    <t>Czy ulga powinna zależeć od wieku zamawiającego, czy od typu deklarowanych biletów? Jeśli ma zostać w tej formie, należy potwierdzić to jako świadomą regułę biznesową.</t>
  </si>
  <si>
    <t>Należy doprecyzować zapis: „liczba biletów × cena jednostkowa danego biletu (normalnego lub ulgowego) przed zastosowaniem rabatu z karty/kodu”.</t>
  </si>
  <si>
    <t>Czy znaki diakrytyczne alfabetu polskiego są dozwolone? Czy należy dodać warunek: dopuszczalne polskie znaki, brak spacji na początku/końcu oraz wymóg obecności co najmniej jednej litery.</t>
  </si>
  <si>
    <t>Wymaganie mówi: „może zawierać tylko litery, spację oraz myślnik”. Nie precyzuje, czy dozwolone są polskie znaki diakrytyczne (np. Ą, Ę, Ł, Ó, Ś, Ź, Ż) oraz czy dopuszczalne są ciągi złożone wyłącznie ze spacji/myślników lub spacje wiodące/kończące.</t>
  </si>
  <si>
    <t>Zapis „musi być poprawnym adresem e-mail” nie definiuje standardu walidacji, wymóg domeny TLD o długości min. 2 znaków, obsługa domen wielopoziomowych.</t>
  </si>
  <si>
    <t>Jaki standard walidacji e-mail ma być stosowany?</t>
  </si>
  <si>
    <t xml:space="preserve">Czy niepoprawny kod promocyjny jest traktowany jako błąd walidacji blokujący zakup, czy jedynie ostrzeżenie (warning)? </t>
  </si>
  <si>
    <t>WT-FRM-02</t>
  </si>
  <si>
    <t>WT-FRM-03</t>
  </si>
  <si>
    <t>WT-FRM-04</t>
  </si>
  <si>
    <t>WT-FRM-05</t>
  </si>
  <si>
    <t>WT-FRM-06</t>
  </si>
  <si>
    <t>WT-FRM-07</t>
  </si>
  <si>
    <t>WT-FRM-08</t>
  </si>
  <si>
    <t>WT-FRM-09</t>
  </si>
  <si>
    <t>WT-FRM-10</t>
  </si>
  <si>
    <t>WT-FRM-11</t>
  </si>
  <si>
    <t>WT-FRM-12</t>
  </si>
  <si>
    <t>WT-CEN-01</t>
  </si>
  <si>
    <t>WT-CEN-02</t>
  </si>
  <si>
    <t>WT-CEN-03</t>
  </si>
  <si>
    <t>WT-CEN-04</t>
  </si>
  <si>
    <t>WT-CEN-05</t>
  </si>
  <si>
    <t>WT-CEN-06</t>
  </si>
  <si>
    <t>WT-CEN-07</t>
  </si>
  <si>
    <t>WT-CEN-08</t>
  </si>
  <si>
    <t>WT-CEN-09</t>
  </si>
  <si>
    <t>WT-CEN-10</t>
  </si>
  <si>
    <t>WT-CEN-11</t>
  </si>
  <si>
    <t>WT-CEN-12</t>
  </si>
  <si>
    <t>WT-CEN-13</t>
  </si>
  <si>
    <t>WT-CEN-14</t>
  </si>
  <si>
    <t>Obecność wszystkich pól wejściowych formularza i etykiet</t>
  </si>
  <si>
    <t>Akceptacja poprawnego imienia (długość 2–30 znaków, litery, spacja, myślnik, znaki PL)</t>
  </si>
  <si>
    <t>Odrzucenie niepoprawnego imienia (za krótkie, za długie, puste, cyfry, symbole specjalne)</t>
  </si>
  <si>
    <t>Akceptacja poprawnego formatu adresu e-mail</t>
  </si>
  <si>
    <t>Odrzucenie niepoprawnego adresu e-mail (brak @, brak kropki, spacja, puste pole)</t>
  </si>
  <si>
    <t>Akceptacja poprawnego wieku (1–120 lat, wartości brzegowe i wewnętrzne)</t>
  </si>
  <si>
    <t>Odrzucenie wieku spoza zakresu (&lt; 1, &gt; 120, wartości ułamkowe, tekst, puste)</t>
  </si>
  <si>
    <t>Akceptacja poprawnej liczby biletów (1–10 sztuk, wartości brzegowe)</t>
  </si>
  <si>
    <t>Odrzucenie liczby biletów spoza zakresu (0, 11, liczby ujemne, ułamki, puste)</t>
  </si>
  <si>
    <t>Opcjonalność pola kodu promocyjnego (zakup możliwy z pustym kodem)</t>
  </si>
  <si>
    <t>Wyświetlanie listy wszystkich błędów i blokada podsumowania przy danych niepoprawnych</t>
  </si>
  <si>
    <t>Prezentacja podsumowania i komunikatu sukcesu przy poprawnych danych</t>
  </si>
  <si>
    <t>Naliczanie ceny biletu normalnego (30,00 zł) dla wieku 18–64 lata</t>
  </si>
  <si>
    <t>Naliczanie ulgi 50% (15,00 zł) dla osób niepełnoletnich (wiek &lt; 18)</t>
  </si>
  <si>
    <t>Naliczanie ulgi 50% (15,00 zł) dla seniorów (wiek &gt;= 65)</t>
  </si>
  <si>
    <t>Naliczanie rabatu 0% (brak Karty Kinomaniaka i brak poprawnego kodu)</t>
  </si>
  <si>
    <t>Naliczanie rabatu 10% (spełniony tylko warunek Karty Kinomaniaka)</t>
  </si>
  <si>
    <t>Naliczanie rabatu 10% (spełniony tylko warunek kodu KINO10)</t>
  </si>
  <si>
    <t>Naliczanie rabatu 15% (spełnione oba warunki: Karta + KINO10)</t>
  </si>
  <si>
    <t>Obsługa niepoprawnego kodu promocyjnego (komunikat + kontynuacja bez rabatu)</t>
  </si>
  <si>
    <t>Naliczanie opłaty rezerwacyjnej 2,00 zł (brak karty i wartość &lt; 100 zł)</t>
  </si>
  <si>
    <t>Zwolnienie z opłaty rezerwacyjnej (0,00 zł) ze względu na Kartę Kinomaniaka</t>
  </si>
  <si>
    <t>Zwolnienie z opłaty rezerwacyjnej (0,00 zł) przy wartości biletów &gt;= 100,00 zł</t>
  </si>
  <si>
    <t>Prawidłowość wyliczenia łącznej kwoty do zapłaty i zaokrąglenie do grosza</t>
  </si>
  <si>
    <t>Formatowanie kwot z 2 miejscami po przecinku i jednostką „zł”</t>
  </si>
  <si>
    <t>Imię, E-mail, Wiek, Liczba biletów, Kod, Karta, przycisk</t>
  </si>
  <si>
    <t>Klasy prawidłowe (EP) i granice (AWB: 2, 30)</t>
  </si>
  <si>
    <t>Wartości graniczne (AWB: 1, 31) i niedozwolone znaki</t>
  </si>
  <si>
    <t>Standardowa składnia e-mail</t>
  </si>
  <si>
    <t>Weryfikacja komunikatu: „Niepoprawny adres e-mail.”</t>
  </si>
  <si>
    <t>AWB: 1, 2, 119, 120</t>
  </si>
  <si>
    <t>AWB: 0, -1, 121, wartości nieliczbowe</t>
  </si>
  <si>
    <t>AWB: 1, 10 oraz wartości środkowe (np. 5)</t>
  </si>
  <si>
    <t>AWB: 0, 11</t>
  </si>
  <si>
    <t>Kod nie jest wymagany do sfinalizowania</t>
  </si>
  <si>
    <t>Sprawdzenie jednoczesnego wystąpienia wielu błędów</t>
  </si>
  <si>
    <t>Sprawdzenie widoczności wszystkich składowych</t>
  </si>
  <si>
    <t>Cena bazowa bez ulgi</t>
  </si>
  <si>
    <t>AWB: wiek 17 (ulga) vs 18 (normalny)</t>
  </si>
  <si>
    <t>AWB: wiek 64 (normalny) vs 65 (ulga)</t>
  </si>
  <si>
    <t>Karta: Nie, Kod: puste lub błędny</t>
  </si>
  <si>
    <t>Karta: Tak, Kod: brak</t>
  </si>
  <si>
    <t>Karta: Nie, Kod: KINO10</t>
  </si>
  <si>
    <t>Karta: Tak, Kod: KINO10</t>
  </si>
  <si>
    <r>
      <t>kino10</t>
    </r>
    <r>
      <rPr>
        <sz val="11"/>
        <color theme="1"/>
        <rFont val="Calibri"/>
        <family val="2"/>
        <charset val="1"/>
      </rPr>
      <t xml:space="preserve">, </t>
    </r>
    <r>
      <rPr>
        <sz val="10"/>
        <color theme="1"/>
        <rFont val="Arial Unicode MS"/>
      </rPr>
      <t>Kino10</t>
    </r>
    <r>
      <rPr>
        <sz val="11"/>
        <color theme="1"/>
        <rFont val="Calibri"/>
        <family val="2"/>
        <charset val="1"/>
      </rPr>
      <t xml:space="preserve">, </t>
    </r>
    <r>
      <rPr>
        <sz val="10"/>
        <color theme="1"/>
        <rFont val="Arial Unicode MS"/>
      </rPr>
      <t>KINO10</t>
    </r>
  </si>
  <si>
    <r>
      <t xml:space="preserve">Kod np. </t>
    </r>
    <r>
      <rPr>
        <sz val="10"/>
        <color theme="1"/>
        <rFont val="Arial Unicode MS"/>
      </rPr>
      <t>PROMO</t>
    </r>
    <r>
      <rPr>
        <sz val="11"/>
        <color theme="1"/>
        <rFont val="Calibri"/>
        <family val="2"/>
        <charset val="1"/>
      </rPr>
      <t xml:space="preserve">, </t>
    </r>
    <r>
      <rPr>
        <sz val="10"/>
        <color theme="1"/>
        <rFont val="Arial Unicode MS"/>
      </rPr>
      <t>RABAT</t>
    </r>
  </si>
  <si>
    <t>Karta: Nie, kwota bazowa &lt; 100 zł</t>
  </si>
  <si>
    <t>Karta: Tak, niezależnie od kwoty</t>
  </si>
  <si>
    <t>Karta: Nie, wartość biletów &gt;= 100 zł</t>
  </si>
  <si>
    <t>Sprawdzenie pełnego wzoru matematycznego</t>
  </si>
  <si>
    <t>Niewrażliwość kodu KINO10 na wielkość liter</t>
  </si>
  <si>
    <t>Weryfikacja formatu w komórkach</t>
  </si>
  <si>
    <t>Kacper Mederski</t>
  </si>
  <si>
    <t>REQ-FRM-08, REQ-CEN-01, REQ-CEN-05, REQ-CEN-06</t>
  </si>
  <si>
    <t>TC-FRM-002</t>
  </si>
  <si>
    <t>TC-FRM-003</t>
  </si>
  <si>
    <t>TC-FRM-004</t>
  </si>
  <si>
    <t>TC-FRM-005</t>
  </si>
  <si>
    <t>TC-FRM-006</t>
  </si>
  <si>
    <t>TC-FRM-007</t>
  </si>
  <si>
    <t>TC-FRM-008</t>
  </si>
  <si>
    <t>TC-FRM-009</t>
  </si>
  <si>
    <t>TC-FRM-010</t>
  </si>
  <si>
    <t>TC-FRM-011</t>
  </si>
  <si>
    <t>TC-FRM-012</t>
  </si>
  <si>
    <t>TC-FRM-013</t>
  </si>
  <si>
    <t>TC-FRM-014</t>
  </si>
  <si>
    <t>TC-FRM-015</t>
  </si>
  <si>
    <t>TC-FRM-016</t>
  </si>
  <si>
    <t>TC-FRM-017</t>
  </si>
  <si>
    <t>TC-FRM-018</t>
  </si>
  <si>
    <t>TC-FRM-019</t>
  </si>
  <si>
    <t>TC-CEN-001</t>
  </si>
  <si>
    <t>TC-CEN-002</t>
  </si>
  <si>
    <t>TC-CEN-003</t>
  </si>
  <si>
    <t>TC-CEN-004</t>
  </si>
  <si>
    <t>TC-CEN-005</t>
  </si>
  <si>
    <t>TC-CEN-006</t>
  </si>
  <si>
    <t>TC-CEN-007</t>
  </si>
  <si>
    <t>TC-CEN-008</t>
  </si>
  <si>
    <t>TC-CEN-009</t>
  </si>
  <si>
    <t>TC-CEN-010</t>
  </si>
  <si>
    <t>TC-CEN-011</t>
  </si>
  <si>
    <t>TC-CEN-012</t>
  </si>
  <si>
    <t>TC-CEN-013</t>
  </si>
  <si>
    <t>TC-CEN-014</t>
  </si>
  <si>
    <t>REQ-CEN-01, REQ-CEN-02</t>
  </si>
  <si>
    <t>REQ-CEN-03, REQ-CEN-04</t>
  </si>
  <si>
    <t>REQ-CEN-04, REQ-FRM-06</t>
  </si>
  <si>
    <t>AWB</t>
  </si>
  <si>
    <t>Na podstawie wymagania</t>
  </si>
  <si>
    <t>Tablica decyzyjna</t>
  </si>
  <si>
    <t>Otwarty syumulator</t>
  </si>
  <si>
    <t>Za krótkie imię (1 znak)</t>
  </si>
  <si>
    <t>Maksymalna długość imienia (30 znaków)</t>
  </si>
  <si>
    <t>Za długie imię (31 znaków)</t>
  </si>
  <si>
    <t>Imię z cyframi i znakami specjalnymi</t>
  </si>
  <si>
    <t>Poprawne imię dwuczłonowe ze spacją i myślnikiem</t>
  </si>
  <si>
    <t>Imię: Jan
E-mail: jan@op.pl
Wiek: 25
Bilety: 1
Kod: (puste)
Karta: Nie</t>
  </si>
  <si>
    <t>Imię: J
E-mail: jan@op.pl
Wiek: 25
Bilety: 1
Kod: (puste)
Karta: Nie</t>
  </si>
  <si>
    <t>Imię: Konstantynopolitańczykowianecz 
E-mail: test@wp.pl
Wiek: 25
Bilety: 1
Kod: (puste)
Karta: Nie</t>
  </si>
  <si>
    <t>Imię: Konstantynopolitańczykowianecz1
E-mail: test@wp.pl
Wiek: 25
Bilety: 1
Kod: (puste)
Karta: Nie</t>
  </si>
  <si>
    <t>Imię: Jan123!
E-mail: test@wp.pl
Wiek: 25
Bilety: 1
Kod: (puste)
Karta: Nie</t>
  </si>
  <si>
    <t>Imię: Anna-Maria Nowak
E-mail: am@test.pl
Wiek: 25
Bilety: 1
Kod: (puste)
Karta: Nie</t>
  </si>
  <si>
    <t>Imię: Piotr
E-mail: piotr@serwer
Wiek: 25
Bilety: 1
Kod: (puste)
Karta: Nie</t>
  </si>
  <si>
    <t>Imię: Piotr
E-mail: piotrpoczta.pl
Wiek: 25
Bilety: 1
Kod: (puste)
Karta: Nie</t>
  </si>
  <si>
    <t>Imię: Adam
E-mail: a@b.pl
Wiek: 1
Bilety: 1
Kod: (puste)
Karta: Nie</t>
  </si>
  <si>
    <t>Imię: Adam
E-mail: a@b.pl
Wiek: 0
Bilety: 1
Kod: (puste)
Karta: Nie</t>
  </si>
  <si>
    <t>Imię: Adam
E-mail: a@b.pl
Wiek: 120
Bilety: 1
Kod: (puste)
Karta: Nie</t>
  </si>
  <si>
    <t>Imię: Adam
E-mail: a@b.pl
Wiek: 121
Bilety: 1
Kod: (puste)
Karta: Nie</t>
  </si>
  <si>
    <t>Imię: Ewa
E-mail: ewa@wp.pl
Wiek: 20
Bilety: 1
Kod: (puste)
Karta: Nie</t>
  </si>
  <si>
    <t>Imię: Ewa
E-mail: ewa@wp.pl
Wiek: 20
Bilety: 0
Kod: (puste)
Karta: Nie</t>
  </si>
  <si>
    <t>Imię: Ewa
E-mail: ewa@wp.pl
Wiek: 20
Bilety: 10
Kod: (puste)
Karta: Nie</t>
  </si>
  <si>
    <t>Imię: Ewa
E-mail: ewa@wp.pl
Wiek: 20
Bilety: 11
Kod: (puste)
Karta: Nie</t>
  </si>
  <si>
    <t>Imię: A
E-mail: brak_malpy
Wiek: 0
Bilety: 0
Kod: (puste)
Karta: Nie</t>
  </si>
  <si>
    <t>Imię: Jan
E-mail: j@wp.pl
Wiek: 17
Bilety: 1
Kod: (puste)
Karta: Nie</t>
  </si>
  <si>
    <t>Imię: Jan
E-mail: j@wp.pl
Wiek: 18
Bilety: 1
Kod: (puste)
Karta: Nie</t>
  </si>
  <si>
    <t>Imię: Jan
E-mail: j@wp.pl
Wiek: 64
Bilety: 1
Kod: (puste)
Karta: Nie</t>
  </si>
  <si>
    <t>Imię: Jan
E-mail: j@wp.pl
Wiek: 65
Bilety: 1
Kod: (puste)
Karta: Nie</t>
  </si>
  <si>
    <t>Imię: Jan
E-mail: j@wp.pl
Wiek: 66
Bilety: 1
Kod: (puste)
Karta: Nie</t>
  </si>
  <si>
    <t>Imię: Jan
E-mail: j@wp.pl
Wiek: 30
Bilety: 1
Kod: (puste)
Karta: Tak</t>
  </si>
  <si>
    <t>Imię: Jan
E-mail: j@wp.pl
Wiek: 30
Bilety: 1
Kod: KINO10
Karta: Nie</t>
  </si>
  <si>
    <t>Imię: Jan
E-mail: j@wp.pl
Wiek: 30
Bilety: 1
Kod: kino10
Karta: Nie</t>
  </si>
  <si>
    <t>Imię: Jan
E-mail: j@wp.pl
Wiek: 30
Bilety: 2
Kod: KINO10
Karta: Tak</t>
  </si>
  <si>
    <t>Imię: Jan
E-mail: j@wp.pl
Wiek: 30
Bilety: 1
Kod: BLEDNYKOD
Karta: Nie</t>
  </si>
  <si>
    <t>Imię: Jan
E-mail: j@wp.pl
Wiek: 30
Bilety: 4
Kod: (puste)
Karta: Nie</t>
  </si>
  <si>
    <t>Imię: Jan
E-mail: j@wp.pl
Wiek: 30
Bilety: 3
Kod: (puste)
Karta: Nie</t>
  </si>
  <si>
    <t>Imię: Jan
E-mail: j@wp.pl
Wiek: 15
Bilety: 1
Kod: KINO10
Karta: Nie</t>
  </si>
  <si>
    <t>Niepoprawny format e-mail (brak domeny / kropki)</t>
  </si>
  <si>
    <t>Niepoprawny format e-mail (brak małpy)</t>
  </si>
  <si>
    <t>Minimalny dopuszczalny wiek (1 rok)</t>
  </si>
  <si>
    <t>Niedopuszczalny wiek poniżej zakresu (0 lat)</t>
  </si>
  <si>
    <t>Maksymalny dopuszczalny wiek (120 lat)</t>
  </si>
  <si>
    <t>Wiek powyżej zakresu (121 lat)</t>
  </si>
  <si>
    <t>Minimalna liczba biletów (1 bilet)</t>
  </si>
  <si>
    <t>Liczba biletów poniżej zakresu (0 biletów)</t>
  </si>
  <si>
    <t>Maksymalna dopuszczalna liczba biletów (10 biletów)</t>
  </si>
  <si>
    <t>Liczba biletów powyżej dopuszczalnego limitu (11 biletów)</t>
  </si>
  <si>
    <t>Weryfikacja wyświetlania listy wszystkich błędów</t>
  </si>
  <si>
    <t>Weryfikacja elementów formularza i etykiet</t>
  </si>
  <si>
    <t>Granica ulgi dla młodzieży – wiek 17 lat (ulga)</t>
  </si>
  <si>
    <t>Granica ulgi dla dorosłych – wiek 18 lat (brak ulgi)</t>
  </si>
  <si>
    <t>Granica ulgi dla dorosłych przed emeryturą – wiek 64 lata (brak ulgi)</t>
  </si>
  <si>
    <t>Granica ulgi dla seniora – wiek dokładnie 65 lat (ulga)</t>
  </si>
  <si>
    <t>Ulga dla seniora – wiek 66 lat (ulga)</t>
  </si>
  <si>
    <t>Rabat 10% – wyłącznie Karta Kinomaniaka (bez kodu)</t>
  </si>
  <si>
    <t>Rabat 10% – wyłącznie poprawny kod KINO10 (bez karty)</t>
  </si>
  <si>
    <t>Kod KINO10 pisany małymi literami (kino10)</t>
  </si>
  <si>
    <t>Rabat 15% – Karta Kinomaniaka ORAZ kod KINO10</t>
  </si>
  <si>
    <t>Niepoprawny kod promocyjny (pominięcie i ostrzeżenie)</t>
  </si>
  <si>
    <t>Opłata rezerwacyjna 0 zł przy wartości biletów &gt;= 100 zł (3 bilety = 90 zł vs 4 bilety = 120 zł)</t>
  </si>
  <si>
    <t>Naliczanie opłaty rezerwacyjnej 2 zł przy wartości biletów &lt; 100 zł</t>
  </si>
  <si>
    <t>Zwolnienie z opłaty rezerwacyjnej na podstawie Karty Kinomaniaka dla kwoty &lt; 100 zł</t>
  </si>
  <si>
    <t>Precyzja zaokrąglenia kwoty do grosza przy rabacie</t>
  </si>
  <si>
    <t>1. Wprowadź Imię: Jan (lub Bo - 2 znaki).
2. Sprawdź sekcję Komunikaty.</t>
  </si>
  <si>
    <t>1. Wprowadź Imię: J.
2. Sprawdź komunikaty i podsumowanie.</t>
  </si>
  <si>
    <t>1. Wprowadź imię 30-znakowe.
2. Odczytaj komunikaty.</t>
  </si>
  <si>
    <t>1. Wprowadź imię 31-znakowe.
2. Odczytaj komunikaty.</t>
  </si>
  <si>
    <t>1. Wpisz Imię: Jan123!.
2. Sprawdź komunikaty.</t>
  </si>
  <si>
    <t>1. Wpisz Imię: Anna-Maria Nowak.
2. Sprawdź komunikaty.</t>
  </si>
  <si>
    <t>1. Wpisz E-mail bez kropki.
2. Sprawdź komunikaty.</t>
  </si>
  <si>
    <t>1. Wpisz e-mail bez znaku @.
2. Sprawdź komunikaty.</t>
  </si>
  <si>
    <t>1. Wpisz Wiek: 1.
2. Odczytaj komunikaty.</t>
  </si>
  <si>
    <t>1. Wpisz Wiek: 0.
2. Odczytaj komunikaty.</t>
  </si>
  <si>
    <t>1. Wpisz Wiek: 120.
2. Odczytaj komunikaty.</t>
  </si>
  <si>
    <t>1. Wpisz Wiek: 121.
2. Odczytaj komunikaty.</t>
  </si>
  <si>
    <t>1. Wpisz Liczba biletów: 1.
2. Odczytaj komunikaty i podsumowanie.</t>
  </si>
  <si>
    <t>1. Wpisz Liczba biletów:0.
2. Odczytaj komunikaty i podsumowanie.</t>
  </si>
  <si>
    <t>1. Wpisz Liczba biletów: 10.
2. Odczytaj komunikaty i podsumowanie.</t>
  </si>
  <si>
    <t>1. Wpisz Liczba biletów: 11.
2. Odczytaj sekcję Komunikaty i Podsumowanie.</t>
  </si>
  <si>
    <t>1. Wprowadź 4 błędne pola wejściowe.
2. Odczytaj sekcję Komunikaty.</t>
  </si>
  <si>
    <t>1. Zweryfikuj nazwy etykiet formularza (B4–B9) oraz obecność przycisku „Kup”.</t>
  </si>
  <si>
    <t>1. Wpisz Wiek: 17.
2. Sprawdź Cenę biletu w podsumowaniu.</t>
  </si>
  <si>
    <t>1. Wpisz Wiek: 18.
2. Sprawdź Cenę biletu w podsumowaniu.</t>
  </si>
  <si>
    <t>1. Wpisz Wiek: 64.
2. Sprawdź Cenę biletu w podsumowaniu.</t>
  </si>
  <si>
    <t>1. Wpisz Wiek: 65.
2. Sprawdź Cenę biletu w podsumowaniu.</t>
  </si>
  <si>
    <t>1. Wpisz Wiek: 66.
2. Sprawdź Cenę biletu w podsumowaniu.</t>
  </si>
  <si>
    <t>1. Ustaw Karta: Tak, Kod: (puste).
2. Sprawdź pole Rabat w podsumowaniu.</t>
  </si>
  <si>
    <t>1. Ustaw Karta: Nie, Kod: KINO10.
2. Sprawdź pole Rabat w podsumowaniu.</t>
  </si>
  <si>
    <t>1. Wpisz Kod: kino10.
2. Sprawdź komunikaty i pole Rabat.</t>
  </si>
  <si>
    <t>1. Ustaw Karta: Tak, Kod: KINO10.
2. Odczytaj pole Rabat i Do zapłaty.</t>
  </si>
  <si>
    <t>1. Wpisz Kod: BLEDNYKOD.
2. Sprawdź komunikaty i podsumowanie.</t>
  </si>
  <si>
    <t>1. Wpisz Bilety: 4 (wartość 120 zł).
2. Sprawdź Opłata rezerwacyjna.</t>
  </si>
  <si>
    <t>1. Wpisz Bilety: 3 (wartość 90 zł).
2. Sprawdź Opłata rezerwacyjna.</t>
  </si>
  <si>
    <t>1. Bilety: 1 (wartość 30 zł), Karta: Tak.
2. Sprawdź opłatę.</t>
  </si>
  <si>
    <t>1. Bilet ulgowy 15 zł, rabat 10% (13,50 zł), opłata 2 zł.
2. Sprawdź Do zapłaty.</t>
  </si>
  <si>
    <t>Brak błędów; Cena: 30,00 zł; Rabat: 0%; Opłata: 2; Do zapłaty: 62,00 zł; „Dziękujemy za zakup!”.</t>
  </si>
  <si>
    <t>Zaliczony</t>
  </si>
  <si>
    <t>Brak błędu imienia; formularz przetworzony pomyślnie.</t>
  </si>
  <si>
    <t>Niezaliczony</t>
  </si>
  <si>
    <t>Błąd formatowania opłaty (wyświetla 2 zamiast 2,00 zł)</t>
  </si>
  <si>
    <t>DEF-006</t>
  </si>
  <si>
    <t>DEF-005</t>
  </si>
  <si>
    <t>Formuła w Excelu sprawdza wyłącznie LEN, brak weryfikacji dozwolonych znaków!</t>
  </si>
  <si>
    <t>Granica poprawna (AWB min = 2)</t>
  </si>
  <si>
    <t>Granica niepoprawna (AWB min-1 = 1)</t>
  </si>
  <si>
    <t>Granica poprawna (AWB max = 30)</t>
  </si>
  <si>
    <t>Granica niepoprawna (AWB max+1 = 31)</t>
  </si>
  <si>
    <t>Spacja i myślnik zaakceptowane poprawnie</t>
  </si>
  <si>
    <t>Walidacja odrzuca e-mail</t>
  </si>
  <si>
    <t>Walidacja poprawnie blokuje</t>
  </si>
  <si>
    <t>Granica dolna prawidłowa (AWB = 1)</t>
  </si>
  <si>
    <t>Granica dolna poza zakresem (AWB = 0)</t>
  </si>
  <si>
    <t>Granica górna prawidłowa (AWB = 120)</t>
  </si>
  <si>
    <t>Granica górna poza zakresem (AWB = 121)</t>
  </si>
  <si>
    <t>Granica dolna (AWB = 1)</t>
  </si>
  <si>
    <t>Granica poza zakresem (AWB = 0)</t>
  </si>
  <si>
    <t>Granica górna (AWB = 10)</t>
  </si>
  <si>
    <t>REQ-FRM-07 spełnione</t>
  </si>
  <si>
    <t>Drobna niezgodność etykiety i formy interakcji</t>
  </si>
  <si>
    <t>Ulga przyznana poprawnie</t>
  </si>
  <si>
    <t>Prawidłowy bilet normalny</t>
  </si>
  <si>
    <t>Błąd w formule H11: C6&gt;65 zamiast C6&gt;=65! Senior 65 lat płaci pełną cenę</t>
  </si>
  <si>
    <t>Dla 66 lat działa poprawnie</t>
  </si>
  <si>
    <t>Rabat 10% przyznany prawidłowo</t>
  </si>
  <si>
    <t>Rabat 10% z kodu wielkimi literami OK</t>
  </si>
  <si>
    <t>Formuła w H8 używa case-sensitive EXACT()!</t>
  </si>
  <si>
    <t>Formuła w H12 zwraca 20 zamiast 15! Zaniżenie przychodu kina.</t>
  </si>
  <si>
    <t>Mechanizm pominięcia działa poprawnie</t>
  </si>
  <si>
    <t>Zwolnienie kwotowe działa poprawnie (format zgłoszony w DEF-006)</t>
  </si>
  <si>
    <t>Naliczanie opłaty poprawne</t>
  </si>
  <si>
    <t>Posiadacz karty zwolniony z opłaty</t>
  </si>
  <si>
    <t>Prawidłowe zaokrąglenie</t>
  </si>
  <si>
    <t>Komunikat: „Podaj poprawne imię.”; brak podsumowania.</t>
  </si>
  <si>
    <t>Brak błędu imienia; podsumowanie wygenerowane.</t>
  </si>
  <si>
    <t>Brak błędu imienia; formularz zaakceptowany, wygenerowano podsumowanie</t>
  </si>
  <si>
    <t>Brak błędu imienia; zakup zrealizowany.</t>
  </si>
  <si>
    <t>Komunikat: „Niepoprawny adres e-mail.”; brak podsumowania.</t>
  </si>
  <si>
    <t>Brak błędu wieku; naliczona ulga (15,00 zł).</t>
  </si>
  <si>
    <t>Komunikat: „Podaj wiek od 1 do 120.”; brak podsumowania.</t>
  </si>
  <si>
    <t>Zakup 1 biletu zaakceptowany.</t>
  </si>
  <si>
    <t>Komunikat: „Można kupić od 1 do 10 biletów.”; brak podsumowania.</t>
  </si>
  <si>
    <t>Zakup 10 biletów zrealizowany.</t>
  </si>
  <si>
    <t>Brak błędu! Wygenerowano podsumowanie dla 11 biletów! Do zapłaty: 330,00 zł.</t>
  </si>
  <si>
    <t>Formuła w komórce H7 ma błąd logiczny: C7&lt;=11 zamiast C7&lt;=10</t>
  </si>
  <si>
    <t>W B8 etykieta „Kod rabatowy” zamiast „Kod promocyjny”; brak fizycznego przycisku „Kup”.</t>
  </si>
  <si>
    <t>Wszystkie pola zgodne ze specyfikacją, obecny przycisk „Kup”, pole B8 ma etykietę „Kod promocyjny”.</t>
  </si>
  <si>
    <t>DEF-007</t>
  </si>
  <si>
    <t>4 komunikaty błędów (po jednym dla każdego pola); brak podsumowania.</t>
  </si>
  <si>
    <t>Cena biletu: 15,00 zł (ulga 50%).</t>
  </si>
  <si>
    <t>Cena biletu: 30,00 zł (bilet normalny).</t>
  </si>
  <si>
    <t>Cena biletu: 15,00 zł (zgodnie z REQ: „co najmniej 65 lat”).</t>
  </si>
  <si>
    <t>Wyświetla się Cena biletu: 30,00 zł! Brak naliczonej ulgi!</t>
  </si>
  <si>
    <t>DEF-002</t>
  </si>
  <si>
    <t>Cena biletu: 15,00 zł.</t>
  </si>
  <si>
    <t>Rabat: 10%.</t>
  </si>
  <si>
    <t>Brak ostrzeżenia o błędnym kodzie; Rabat: 10% (wielkość liter bez znaczenia).</t>
  </si>
  <si>
    <t>DEF-004</t>
  </si>
  <si>
    <t>DEF-003</t>
  </si>
  <si>
    <t>Rabat: 15%; Do zapłaty: 51,00 zł (zgodnie z przykładem w specyfikacji).</t>
  </si>
  <si>
    <t>Rabat: 20%; Do zapłaty: 48,00 zł</t>
  </si>
  <si>
    <t>Komunikat: „Nieprawidłowy kod – pominięto”; Rabat: 0%</t>
  </si>
  <si>
    <t>Komunikat: „Nieprawidłowy kod – pominięto”; Rabat: 0%; zakup kontynuowany.</t>
  </si>
  <si>
    <t>Wartość biletów 120 zł &gt;= 100 zł; Opłata: 0,00 zł.</t>
  </si>
  <si>
    <t>Wartość biletów 90 zł &lt; 100 zł; Opłata: 2,00 zł; Do zapłaty: 92,00 zł.</t>
  </si>
  <si>
    <t>Karta: Tak; Opłata: 0,00 zł.</t>
  </si>
  <si>
    <t>Do zapłaty: 15 × 0,90 + 2 = 15,50 zł.</t>
  </si>
  <si>
    <t>TC-FRM-002, TC-FRM-003, TC-FRM-004, TC-FRM-005, TC-FRM-006, TC-FRM-007</t>
  </si>
  <si>
    <t>TC-FRM-008, TC-FRM-009</t>
  </si>
  <si>
    <t>TC-FRM-010, TC-FRM-011, TC-FRM-012, TC-FRM-013</t>
  </si>
  <si>
    <t>TC-FRM-014, TC-FRM-015, TC-FRM-016, TC-FRM-017</t>
  </si>
  <si>
    <t>TC-FRM-001, TC-CEN-010</t>
  </si>
  <si>
    <t>TC-FRM-001, TC-CEN-002, TC-CEN-003</t>
  </si>
  <si>
    <t>TC-CEN-001, TC-CEN-002, TC-CEN-003, TC-CEN-004, TC-CEN-005</t>
  </si>
  <si>
    <t>TC-CEN-006, TC-CEN-007, TC-CEN-009</t>
  </si>
  <si>
    <t>TC-CEN-007, TC-CEN-008, TC-CEN-010</t>
  </si>
  <si>
    <t>TC-FRM-001, TC-CEN-011, TC-CEN-012, TC-CEN-013</t>
  </si>
  <si>
    <t>TC-FRM-001, TC-CEN-014</t>
  </si>
  <si>
    <r>
      <t xml:space="preserve">Imię: </t>
    </r>
    <r>
      <rPr>
        <sz val="10"/>
        <color theme="1"/>
        <rFont val="Arial Unicode MS"/>
      </rPr>
      <t>Jan123</t>
    </r>
    <r>
      <rPr>
        <sz val="11"/>
        <color theme="1"/>
        <rFont val="Calibri"/>
        <family val="2"/>
        <charset val="1"/>
      </rPr>
      <t>, cyfry w imieniu</t>
    </r>
  </si>
  <si>
    <r>
      <t xml:space="preserve">Wiek: </t>
    </r>
    <r>
      <rPr>
        <sz val="10"/>
        <color theme="1"/>
        <rFont val="Arial Unicode MS"/>
      </rPr>
      <t>17.5</t>
    </r>
    <r>
      <rPr>
        <sz val="11"/>
        <color theme="1"/>
        <rFont val="Calibri"/>
        <family val="2"/>
        <charset val="1"/>
      </rPr>
      <t xml:space="preserve"> (liczba ułamkowa)</t>
    </r>
  </si>
  <si>
    <t>Liczba biletów: 11</t>
  </si>
  <si>
    <t>Wiek: 65 (dokładny wiek emerytalny)</t>
  </si>
  <si>
    <r>
      <t xml:space="preserve">Kod: </t>
    </r>
    <r>
      <rPr>
        <sz val="10"/>
        <color theme="1"/>
        <rFont val="Arial Unicode MS"/>
      </rPr>
      <t>kino10</t>
    </r>
    <r>
      <rPr>
        <sz val="11"/>
        <color theme="1"/>
        <rFont val="Calibri"/>
        <family val="2"/>
        <charset val="1"/>
      </rPr>
      <t xml:space="preserve"> (małe litery)</t>
    </r>
  </si>
  <si>
    <t>Opłata rezerwacyjna</t>
  </si>
  <si>
    <t>Brak błędu walidacji! Formularz przepuścił cyfry i wyliczył cenę.</t>
  </si>
  <si>
    <t>Kandydat na defekt</t>
  </si>
  <si>
    <r>
      <t xml:space="preserve">Komunikat: „Podaj wiek od 1 do 120.” (sprawdzenie </t>
    </r>
    <r>
      <rPr>
        <sz val="10"/>
        <color theme="1"/>
        <rFont val="Arial Unicode MS"/>
      </rPr>
      <t>C6=INT(C6)</t>
    </r>
    <r>
      <rPr>
        <sz val="11"/>
        <color theme="1"/>
        <rFont val="Calibri"/>
        <family val="2"/>
        <charset val="1"/>
      </rPr>
      <t xml:space="preserve"> zadziałało).</t>
    </r>
  </si>
  <si>
    <t>Brak komunikatu błędu! Zamówienie sfinalizowane na 11 biletów.</t>
  </si>
  <si>
    <t>Wyświetla ostrzeżenie: „Nieprawidłowy kod – pominięto” i rabat 0%.</t>
  </si>
  <si>
    <t>Wyświetla cenę biletu 30,00 zł zamiast ulgowej 15,00 zł</t>
  </si>
  <si>
    <t>Naliczono rabat 20% zamiast określonego w specyfikacji 15%.</t>
  </si>
  <si>
    <t>Komórka wyświetla wartość 2 zamiast sformatowanej kwoty 2,00 zł.</t>
  </si>
  <si>
    <t>TSR-KinoTO-1.0-01</t>
  </si>
  <si>
    <t>Symulator_KinoTO.xlsx</t>
  </si>
  <si>
    <t>Wykonano pełen zestaw testów funkcjonalnych, czarnoskrzynkowych (EP, AWB, tablice decyzyjne) oraz 20-minutową sesję testowania eksploracyjnego. Pokryto 100% zdefiniowanych wymagań biznesowych REQ-FRM oraz REQ-CEN.</t>
  </si>
  <si>
    <t>Ryzyko strat finansowych kina: Naliczanie rabatu 20% zamiast 15% (DEF-003) powoduje bezpośrednie zaniżenie przychodów z każdego zakupu łączonego.
Ryzyko prawne: Brak zniżki 50% dla seniorów w wieku dokładnie 65 lat (DEF-002) naraża kino na zarzut wprowadzania konsumentów w błąd (naruszenie praw konsumenta).
Ryzyko rezerwacyjne: Sprzedaż 11 biletów w jednym zamówieniu (DEF-001) łamie ograniczenia pojemnościowe pojedynczych rezerwacji.
Utrata konwersji: Odrzucanie kodu promocyjnego wpisanego małymi literami (DEF-004) zniechęca klientów mobilnych korzystających z autokorekty.</t>
  </si>
  <si>
    <t>NIESPEŁNIONE. Kryterium wyjścia wymagało 0 otwartych defektów o ważności Krytycznej i Wysokiej oraz wskaźnika zaliczenia testów na poziomie min. 95%.</t>
  </si>
  <si>
    <t>Nie wydawać. Wersja 1.0 nie nadaje się do wdrożenia na produkcję. Wymagana jest natychmiastowa naprawa formuł w arkuszu, a następnie wykonanie retestów i pełnych testów regresji.</t>
  </si>
  <si>
    <t>CHK-02</t>
  </si>
  <si>
    <t>CHK-03</t>
  </si>
  <si>
    <t>CHK-04</t>
  </si>
  <si>
    <t>CHK-05</t>
  </si>
  <si>
    <t>CHK-06</t>
  </si>
  <si>
    <t>CHK-07</t>
  </si>
  <si>
    <t>CHK-08</t>
  </si>
  <si>
    <t>CHK-09</t>
  </si>
  <si>
    <t>CHK-10</t>
  </si>
  <si>
    <t>Walidacja</t>
  </si>
  <si>
    <t>Logika biznesowa</t>
  </si>
  <si>
    <t>Użyteczność</t>
  </si>
  <si>
    <t>Bezpieczeństwo</t>
  </si>
  <si>
    <t>Prezentacja</t>
  </si>
  <si>
    <t>Spójność</t>
  </si>
  <si>
    <t>Finanse</t>
  </si>
  <si>
    <t>Czy system uniemożliwia zakup liczby biletów powyżej 10 sztuk?</t>
  </si>
  <si>
    <t>Wpisanie 11 biletów pozwala na realizację zakupu</t>
  </si>
  <si>
    <t>Nie</t>
  </si>
  <si>
    <t>Tak</t>
  </si>
  <si>
    <t>Czy senior w wieku dokładnie 65 lat otrzymuje ulgę 50% na bilet?</t>
  </si>
  <si>
    <t>Czy łączenie Karty Kinomaniaka i kodu daje dokładnie 15% rabatu?</t>
  </si>
  <si>
    <t>Osoba w wieku 65 lat płaci 30,00 zł zamiast 15,00 zł</t>
  </si>
  <si>
    <t>Naliczany jest rabat w wysokości 20%</t>
  </si>
  <si>
    <t>Wpisanie kino10 małymi literami odrzuca kod</t>
  </si>
  <si>
    <t>Formularz akceptuje imię Jan123!</t>
  </si>
  <si>
    <t>Opłata rezerwacyjna wyświetla 2 zamiast 2,00 zł</t>
  </si>
  <si>
    <t>W B8 widnieje „Kod rabatowy” zamiast „Kod promocyjny”</t>
  </si>
  <si>
    <t>Komunikat: „Niepoprawny adres e-mail.”</t>
  </si>
  <si>
    <t>Komunikat: „Podaj wiek od 1 do 120.”</t>
  </si>
  <si>
    <t>4 bilety po 30 zł = 120 zł, opłata = 0 zł</t>
  </si>
  <si>
    <t>Czy zamówienie na kwotę &gt;= 100 zł zwalnia z opłaty rezerwacyjnej?</t>
  </si>
  <si>
    <t>Czy wiek ułamkowy lub tekstowy jest prawidłowo blokowany?</t>
  </si>
  <si>
    <t>Czy wpisanie niepoprawnego adresu e-mail blokuje realizację zakupu?</t>
  </si>
  <si>
    <t>Czy nazwy pól formularza są w 100% zgodne ze specyfikacją wymagań?</t>
  </si>
  <si>
    <t>Czy wszystkie kwoty w podsumowaniu wyświetlają się w formacie „0,00 zł”?</t>
  </si>
  <si>
    <t>Czy pole „Imię” blokuje wprowadzanie cyfr i znaków specjalnych?</t>
  </si>
  <si>
    <t>Czy kod promocyjny działa poprawnie bez względu na wielkość liter?</t>
  </si>
  <si>
    <t>Microsoft Excel / Windows 11</t>
  </si>
  <si>
    <t>Microsoft Excel / Windows 12</t>
  </si>
  <si>
    <t>Microsoft Excel / Windows 13</t>
  </si>
  <si>
    <t>Microsoft Excel / Windows 14</t>
  </si>
  <si>
    <t>Microsoft Excel / Windows 15</t>
  </si>
  <si>
    <t>Microsoft Excel / Windows 16</t>
  </si>
  <si>
    <t>Microsoft Excel / Windows 17</t>
  </si>
  <si>
    <t>Formularz zezwala na zakup 11 biletów</t>
  </si>
  <si>
    <t>2026-10-07</t>
  </si>
  <si>
    <t>2026-10-08</t>
  </si>
  <si>
    <t>2026-10-09</t>
  </si>
  <si>
    <t>2026-10-10</t>
  </si>
  <si>
    <t>2026-10-11</t>
  </si>
  <si>
    <t>2026-10-12</t>
  </si>
  <si>
    <r>
      <t>Symulator_KinoTO.xlsx</t>
    </r>
    <r>
      <rPr>
        <sz val="11"/>
        <color theme="1"/>
        <rFont val="Calibri"/>
        <family val="2"/>
        <charset val="1"/>
      </rPr>
      <t>.</t>
    </r>
  </si>
  <si>
    <t>Brak ulgi 50% dla klienta w wieku dokładnie 65 lat</t>
  </si>
  <si>
    <t>Zawyżony rabat łączony – 20% zamiast 15% przy Karcie Kinomaniaka i kodzie KINO10</t>
  </si>
  <si>
    <t>Kod promocyjny KINO10 jest wrażliwy na wielkość liter</t>
  </si>
  <si>
    <t>Brak walidacji znaków w polu Imię</t>
  </si>
  <si>
    <t>Niepoprawny format prezentacji kwoty opłaty rezerwacyjnej w podsumowaniu</t>
  </si>
  <si>
    <t>Rozbieżność nazwy etykiety pola kodu rabatowego i brak przycisku „Kup”</t>
  </si>
  <si>
    <t>Otwarty Symulator_KinoTo.xlsx</t>
  </si>
  <si>
    <t>Otwórz arkusz Symulator_KinoTO.xlsx.
Wprowadź poprawne dane: Imię: Piotr, E-mail: piotr@test.pl, Wiek: 25.
W komórkę C7 (Liczba biletów) wpisz wartość 11.
Ustaw Kod promocyjny: (puste), Karta: Nie.</t>
  </si>
  <si>
    <t>Wprowadź poprawne dane: Imię: Anna, E-mail: anna@test.pl.
W komórkę C6 (Wiek) wpisz wartość 65.
Wpisz Liczbę biletów: 1, Karta: Nie.</t>
  </si>
  <si>
    <t>Wprowadź: Imię: Marek, E-mail: marek@test.pl, Wiek: 30, Liczba biletów: 2.
W komórkę C8 (Kod) wpisz KINO10.
W komórce C9 (Mam Kartę Kinomaniaka) wybierz Tak.</t>
  </si>
  <si>
    <t>Wypełnij pola poprawnymi danymi (np. Wiek: 30, Bilety: 1, Karta: Nie).
W komórce C8 wpisz kod małymi literami: kino10 (lub mieszanymi: Kino10).</t>
  </si>
  <si>
    <t>W komórkę C4 (Imię) wpisz: Jan123! lub 999.
Uzupełnij pozostałe pola prawidłowymi danymi i przejdź do podsumowania.</t>
  </si>
  <si>
    <t>Wprowadź dane zamówienia z opłatą rezerwacyjną (np. 1 bilet normalny, bez karty).
Sprawdź formatowanie komórki C21 (Opłata rezerwacyjna) w sekcji Podsumowanie.</t>
  </si>
  <si>
    <t>Porównaj etykiety w kolumnie B symulatora z treścią wymagania REQ-FRM-01.</t>
  </si>
  <si>
    <t>Wyświetlenie komunikatu o błędzie: „Można kupić od 1 do 10 biletów.”, brak sekcji podsumowania.</t>
  </si>
  <si>
    <t>Brak komunikatu o błędzie. Wyświetla się podsumowanie zakupu dla 11 biletów (Kwota do zapłaty: 330,00 zł).</t>
  </si>
  <si>
    <t>Bilet ulgowy 50% – pole „Cena biletu” powinno wynosić 15,00 zł (zgodnie z wymogiem: „co najmniej 65 lat”).</t>
  </si>
  <si>
    <t>Wyświetla się pełna cena biletu: 30,00 zł.</t>
  </si>
  <si>
    <t>Pole Rabat wyświetla 20%, a kwota Do zapłaty wynosi 48,00 zł.</t>
  </si>
  <si>
    <t>Rabat powinien wynosić 15%, a łączna kwota do zapłaty: 51,00 zł (2 × 30,00 zł × 0,85).</t>
  </si>
  <si>
    <t>Kod uznany za poprawny, naliczony rabat 10%, brak komunikatów ostrzegawczych.</t>
  </si>
  <si>
    <t>Wyświetla się komunikat: „Nieprawidłowy kod – pominięto”, naliczony zostaje rabat 0%.</t>
  </si>
  <si>
    <t>Wyświetlenie komunikatu o błędzie: „Podaj poprawne imię.”, brak podsumowania zakupu.</t>
  </si>
  <si>
    <t>Formularz akceptuje imię zawierające cyfry i symbole, zamówienie przechodzi do podsumowania.</t>
  </si>
  <si>
    <t>Kwota sformatowana jako 2,00 zł (z dwoma miejscami po przecinku i walutą).</t>
  </si>
  <si>
    <t>Wyświetla się sama liczba całkowita 2 (format komórki: Ogólne / General).</t>
  </si>
  <si>
    <t>Pole B8 nosi nazwę „Kod promocyjny”; w formularzu istnieje fizyczny przycisk „Kup”.</t>
  </si>
  <si>
    <t>Pole B8 ma etykietę „Kod rabatowy”; brak przycisku „Kup” (zastąpiony automatycznym przeliczaniem formuł).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</si>
</sst>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charset val="1"/>
    </font>
    <font>
      <b/>
      <sz val="14"/>
      <name val="Cambria"/>
      <charset val="1"/>
    </font>
    <font>
      <i/>
      <sz val="11"/>
      <name val="Cambria"/>
      <charset val="1"/>
    </font>
    <font>
      <b/>
      <sz val="11"/>
      <name val="Cambria"/>
      <charset val="1"/>
    </font>
    <font>
      <b/>
      <sz val="11"/>
      <color rgb="FFFFFFFF"/>
      <name val="Cambria"/>
      <charset val="1"/>
    </font>
    <font>
      <sz val="11"/>
      <name val="Cambria"/>
      <charset val="1"/>
    </font>
    <font>
      <sz val="10"/>
      <color theme="1"/>
      <name val="Arial Unicode MS"/>
    </font>
    <font>
      <sz val="8"/>
      <name val="Calibri"/>
      <family val="2"/>
      <charset val="1"/>
    </font>
  </fonts>
  <fills count="7">
    <fill>
      <patternFill patternType="none"/>
    </fill>
    <fill>
      <patternFill patternType="gray125"/>
    </fill>
    <fill>
      <patternFill patternType="solid">
        <fgColor rgb="FFDDEBF7"/>
        <bgColor rgb="FFCCFFFF"/>
      </patternFill>
    </fill>
    <fill>
      <patternFill patternType="solid">
        <fgColor rgb="FF1F4E78"/>
        <bgColor rgb="FF003366"/>
      </patternFill>
    </fill>
    <fill>
      <patternFill patternType="solid">
        <fgColor rgb="FFFFF2CC"/>
        <bgColor rgb="FFFFFFFF"/>
      </patternFill>
    </fill>
    <fill>
      <patternFill patternType="solid">
        <fgColor theme="9" tint="0.59999389629810485"/>
        <bgColor indexed="64"/>
      </patternFill>
    </fill>
    <fill>
      <patternFill patternType="solid">
        <fgColor theme="9" tint="0.59999389629810485"/>
        <bgColor rgb="FFFFFFFF"/>
      </patternFill>
    </fill>
  </fills>
  <borders count="5">
    <border>
      <left/>
      <right/>
      <top/>
      <bottom/>
      <diagonal/>
    </border>
    <border>
      <left style="thin">
        <color rgb="FF999999"/>
      </left>
      <right style="thin">
        <color rgb="FF999999"/>
      </right>
      <top style="thin">
        <color rgb="FF999999"/>
      </top>
      <bottom style="thin">
        <color rgb="FF999999"/>
      </bottom>
      <diagonal/>
    </border>
    <border>
      <left style="thin">
        <color rgb="FFBFBFBF"/>
      </left>
      <right style="thin">
        <color rgb="FFBFBFBF"/>
      </right>
      <top style="thin">
        <color rgb="FFBFBFBF"/>
      </top>
      <bottom style="thin">
        <color rgb="FFBFBFBF"/>
      </bottom>
      <diagonal/>
    </border>
    <border>
      <left style="thin">
        <color rgb="FF999999"/>
      </left>
      <right/>
      <top/>
      <bottom/>
      <diagonal/>
    </border>
    <border>
      <left style="thin">
        <color rgb="FF999999"/>
      </left>
      <right style="thin">
        <color rgb="FF999999"/>
      </right>
      <top/>
      <bottom/>
      <diagonal/>
    </border>
  </borders>
  <cellStyleXfs count="1">
    <xf numFmtId="0" fontId="0" fillId="0" borderId="0"/>
  </cellStyleXfs>
  <cellXfs count="38">
    <xf numFmtId="0" fontId="0" fillId="0" borderId="0" xfId="0"/>
    <xf numFmtId="0" fontId="0" fillId="0" borderId="2" xfId="0" applyBorder="1"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0" fillId="0" borderId="0" xfId="0" applyAlignment="1">
      <alignment vertical="top" wrapText="1"/>
    </xf>
    <xf numFmtId="0" fontId="3" fillId="2" borderId="0" xfId="0" applyFont="1" applyFill="1" applyAlignment="1">
      <alignment vertical="top" wrapText="1"/>
    </xf>
    <xf numFmtId="0" fontId="4" fillId="3" borderId="1" xfId="0" applyFont="1" applyFill="1" applyBorder="1" applyAlignment="1">
      <alignment vertical="center" wrapText="1"/>
    </xf>
    <xf numFmtId="0" fontId="0" fillId="4" borderId="2" xfId="0" applyFill="1" applyBorder="1" applyAlignment="1">
      <alignment vertical="top" wrapText="1"/>
    </xf>
    <xf numFmtId="0" fontId="4" fillId="3" borderId="1" xfId="0" applyFont="1" applyFill="1" applyBorder="1" applyAlignment="1">
      <alignment horizontal="center" vertical="center" wrapText="1"/>
    </xf>
    <xf numFmtId="0" fontId="0" fillId="4" borderId="1" xfId="0" applyFill="1" applyBorder="1" applyAlignment="1">
      <alignment vertical="top" wrapText="1"/>
    </xf>
    <xf numFmtId="0" fontId="0" fillId="0" borderId="1" xfId="0" applyBorder="1" applyAlignment="1">
      <alignment vertical="top" wrapText="1"/>
    </xf>
    <xf numFmtId="0" fontId="3" fillId="0" borderId="0" xfId="0" applyFont="1"/>
    <xf numFmtId="0" fontId="3" fillId="2" borderId="0" xfId="0" applyFont="1" applyFill="1"/>
    <xf numFmtId="0" fontId="0" fillId="2" borderId="0" xfId="0" applyFill="1"/>
    <xf numFmtId="0" fontId="5" fillId="0" borderId="1" xfId="0" applyFont="1" applyBorder="1" applyAlignment="1">
      <alignment vertical="top" wrapText="1"/>
    </xf>
    <xf numFmtId="9" fontId="0" fillId="0" borderId="1" xfId="0" applyNumberFormat="1" applyBorder="1" applyAlignment="1">
      <alignment vertical="top" wrapText="1"/>
    </xf>
    <xf numFmtId="0" fontId="6" fillId="0" borderId="0" xfId="0" applyFont="1"/>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wrapText="1"/>
    </xf>
    <xf numFmtId="0" fontId="0" fillId="0" borderId="0" xfId="0" applyAlignment="1">
      <alignment horizontal="left" vertical="top" wrapText="1"/>
    </xf>
    <xf numFmtId="0" fontId="0" fillId="5" borderId="0" xfId="0" applyFill="1"/>
    <xf numFmtId="0" fontId="0" fillId="6" borderId="2" xfId="0" applyFill="1" applyBorder="1" applyAlignment="1">
      <alignment vertical="top" wrapText="1"/>
    </xf>
    <xf numFmtId="0" fontId="0" fillId="6" borderId="1" xfId="0" applyFill="1" applyBorder="1" applyAlignment="1">
      <alignment horizontal="center" vertical="center" wrapText="1"/>
    </xf>
    <xf numFmtId="0" fontId="0" fillId="5" borderId="0" xfId="0" applyFill="1" applyAlignment="1">
      <alignment horizontal="center" vertical="center"/>
    </xf>
    <xf numFmtId="0" fontId="0" fillId="4" borderId="1" xfId="0" applyFill="1" applyBorder="1" applyAlignment="1">
      <alignment horizontal="center" vertical="center" wrapText="1"/>
    </xf>
    <xf numFmtId="0" fontId="0" fillId="5" borderId="0" xfId="0" applyFill="1" applyAlignment="1">
      <alignment horizontal="center" vertical="center" wrapText="1"/>
    </xf>
    <xf numFmtId="0" fontId="0" fillId="0" borderId="2" xfId="0" applyBorder="1" applyAlignment="1">
      <alignment vertical="top" wrapText="1"/>
    </xf>
    <xf numFmtId="14" fontId="0" fillId="6" borderId="1" xfId="0" applyNumberFormat="1" applyFill="1" applyBorder="1" applyAlignment="1">
      <alignment horizontal="center" vertical="center" wrapText="1"/>
    </xf>
    <xf numFmtId="14" fontId="0" fillId="0" borderId="0" xfId="0" applyNumberFormat="1" applyAlignment="1">
      <alignment horizontal="center" vertical="center"/>
    </xf>
    <xf numFmtId="0" fontId="0" fillId="0" borderId="0" xfId="0" applyFill="1" applyBorder="1" applyAlignment="1">
      <alignment wrapText="1"/>
    </xf>
    <xf numFmtId="14" fontId="0" fillId="0" borderId="1" xfId="0" applyNumberFormat="1" applyBorder="1" applyAlignment="1">
      <alignment vertical="top" wrapText="1"/>
    </xf>
    <xf numFmtId="0" fontId="6" fillId="0" borderId="0" xfId="0" applyFont="1" applyAlignment="1">
      <alignment horizontal="center" vertical="center"/>
    </xf>
    <xf numFmtId="0" fontId="0" fillId="4" borderId="3" xfId="0" applyFill="1" applyBorder="1" applyAlignment="1">
      <alignment vertical="top" wrapText="1"/>
    </xf>
    <xf numFmtId="0" fontId="0" fillId="4" borderId="4" xfId="0" applyFill="1" applyBorder="1" applyAlignment="1">
      <alignment vertical="top" wrapText="1"/>
    </xf>
  </cellXfs>
  <cellStyles count="1">
    <cellStyle name="Normalny"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zoomScaleNormal="100" workbookViewId="0">
      <pane ySplit="1" topLeftCell="A4" activePane="bottomLeft" state="frozen"/>
      <selection pane="bottomLeft" activeCell="B5" sqref="B5"/>
    </sheetView>
  </sheetViews>
  <sheetFormatPr defaultColWidth="8.6640625" defaultRowHeight="14.4"/>
  <cols>
    <col min="1" max="1" width="28" customWidth="1"/>
    <col min="2" max="2" width="110" customWidth="1"/>
  </cols>
  <sheetData>
    <row r="1" spans="1:2" ht="34.799999999999997">
      <c r="A1" s="2" t="s">
        <v>0</v>
      </c>
      <c r="B1" s="3" t="s">
        <v>1</v>
      </c>
    </row>
    <row r="2" spans="1:2" ht="27.6">
      <c r="A2" s="4" t="s">
        <v>2</v>
      </c>
      <c r="B2" s="5" t="s">
        <v>187</v>
      </c>
    </row>
    <row r="3" spans="1:2">
      <c r="A3" s="4" t="s">
        <v>3</v>
      </c>
      <c r="B3" s="5" t="s">
        <v>188</v>
      </c>
    </row>
    <row r="4" spans="1:2" ht="28.8">
      <c r="A4" s="4" t="s">
        <v>4</v>
      </c>
      <c r="B4" s="5" t="s">
        <v>5</v>
      </c>
    </row>
    <row r="5" spans="1:2">
      <c r="A5" s="4"/>
      <c r="B5" s="5"/>
    </row>
    <row r="6" spans="1:2">
      <c r="A6" s="6" t="s">
        <v>6</v>
      </c>
      <c r="B6" s="5"/>
    </row>
    <row r="7" spans="1:2" ht="28.8">
      <c r="A7" s="4" t="s">
        <v>7</v>
      </c>
      <c r="B7" s="5" t="s">
        <v>8</v>
      </c>
    </row>
    <row r="8" spans="1:2">
      <c r="A8" s="4" t="s">
        <v>9</v>
      </c>
      <c r="B8" s="5" t="s">
        <v>10</v>
      </c>
    </row>
    <row r="9" spans="1:2" ht="28.8">
      <c r="A9" s="4" t="s">
        <v>11</v>
      </c>
      <c r="B9" s="5" t="s">
        <v>12</v>
      </c>
    </row>
    <row r="10" spans="1:2" ht="28.8">
      <c r="A10" s="4" t="s">
        <v>13</v>
      </c>
      <c r="B10" s="5" t="s">
        <v>14</v>
      </c>
    </row>
    <row r="11" spans="1:2">
      <c r="A11" s="4" t="s">
        <v>15</v>
      </c>
      <c r="B11" s="5" t="s">
        <v>16</v>
      </c>
    </row>
    <row r="12" spans="1:2" ht="28.8">
      <c r="A12" s="4" t="s">
        <v>17</v>
      </c>
      <c r="B12" s="5" t="s">
        <v>18</v>
      </c>
    </row>
    <row r="13" spans="1:2" ht="28.8">
      <c r="A13" s="4" t="s">
        <v>19</v>
      </c>
      <c r="B13" s="5" t="s">
        <v>20</v>
      </c>
    </row>
    <row r="14" spans="1:2">
      <c r="A14" s="4" t="s">
        <v>21</v>
      </c>
      <c r="B14" s="5" t="s">
        <v>22</v>
      </c>
    </row>
    <row r="15" spans="1:2">
      <c r="A15" s="4"/>
      <c r="B15" s="5"/>
    </row>
    <row r="16" spans="1:2" ht="43.2">
      <c r="A16" s="6" t="s">
        <v>23</v>
      </c>
      <c r="B16" s="5" t="s">
        <v>24</v>
      </c>
    </row>
    <row r="17" spans="1:2" ht="43.2">
      <c r="A17" s="4" t="s">
        <v>25</v>
      </c>
      <c r="B17" s="5" t="s">
        <v>26</v>
      </c>
    </row>
    <row r="18" spans="1:2" ht="43.2">
      <c r="A18" s="4" t="s">
        <v>27</v>
      </c>
      <c r="B18" s="5" t="s">
        <v>28</v>
      </c>
    </row>
    <row r="19" spans="1:2" ht="28.8">
      <c r="A19" s="6" t="s">
        <v>29</v>
      </c>
      <c r="B19" s="5" t="s">
        <v>30</v>
      </c>
    </row>
    <row r="20" spans="1:2" ht="28.8">
      <c r="A20" s="6" t="s">
        <v>31</v>
      </c>
      <c r="B20" s="5" t="s">
        <v>32</v>
      </c>
    </row>
    <row r="21" spans="1:2">
      <c r="A21" s="4" t="s">
        <v>33</v>
      </c>
      <c r="B21" s="5" t="s">
        <v>34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zoomScaleNormal="100" workbookViewId="0">
      <pane ySplit="1" topLeftCell="A2" activePane="bottomLeft" state="frozen"/>
      <selection pane="bottomLeft" activeCell="H6" sqref="H6"/>
    </sheetView>
  </sheetViews>
  <sheetFormatPr defaultColWidth="8.6640625" defaultRowHeight="14.4"/>
  <cols>
    <col min="1" max="1" width="6" customWidth="1"/>
    <col min="2" max="2" width="23.5546875" customWidth="1"/>
    <col min="3" max="3" width="34.77734375" customWidth="1"/>
    <col min="4" max="5" width="50" customWidth="1"/>
  </cols>
  <sheetData>
    <row r="1" spans="1:5" ht="31.5" customHeight="1">
      <c r="A1" s="7" t="s">
        <v>35</v>
      </c>
      <c r="B1" s="7" t="s">
        <v>36</v>
      </c>
      <c r="C1" s="7" t="s">
        <v>37</v>
      </c>
      <c r="D1" s="7" t="s">
        <v>38</v>
      </c>
      <c r="E1" s="7" t="s">
        <v>39</v>
      </c>
    </row>
    <row r="2" spans="1:5" ht="28.8">
      <c r="A2" s="8">
        <v>1</v>
      </c>
      <c r="B2" s="8" t="s">
        <v>40</v>
      </c>
      <c r="C2" s="8" t="s">
        <v>41</v>
      </c>
      <c r="D2" s="8" t="s">
        <v>42</v>
      </c>
      <c r="E2" s="8" t="s">
        <v>43</v>
      </c>
    </row>
    <row r="3" spans="1:5" ht="72.599999999999994" customHeight="1">
      <c r="A3" s="19">
        <v>2</v>
      </c>
      <c r="B3" s="18" t="s">
        <v>50</v>
      </c>
      <c r="C3" s="18" t="s">
        <v>41</v>
      </c>
      <c r="D3" s="21" t="s">
        <v>198</v>
      </c>
      <c r="E3" s="5" t="s">
        <v>197</v>
      </c>
    </row>
    <row r="4" spans="1:5" ht="61.8" customHeight="1">
      <c r="A4" s="19">
        <v>3</v>
      </c>
      <c r="B4" s="18" t="s">
        <v>83</v>
      </c>
      <c r="C4" s="18" t="s">
        <v>41</v>
      </c>
      <c r="D4" s="23" t="s">
        <v>199</v>
      </c>
      <c r="E4" s="5" t="s">
        <v>200</v>
      </c>
    </row>
    <row r="5" spans="1:5" ht="92.4" customHeight="1">
      <c r="A5" s="19">
        <v>5</v>
      </c>
      <c r="B5" s="18" t="s">
        <v>96</v>
      </c>
      <c r="C5" s="18" t="s">
        <v>189</v>
      </c>
      <c r="D5" s="22" t="s">
        <v>192</v>
      </c>
      <c r="E5" s="5" t="s">
        <v>195</v>
      </c>
    </row>
    <row r="6" spans="1:5" ht="76.2" customHeight="1">
      <c r="A6" s="19">
        <v>6</v>
      </c>
      <c r="B6" s="18" t="s">
        <v>191</v>
      </c>
      <c r="C6" s="18" t="s">
        <v>190</v>
      </c>
      <c r="D6" s="22" t="s">
        <v>193</v>
      </c>
      <c r="E6" s="5" t="s">
        <v>201</v>
      </c>
    </row>
    <row r="7" spans="1:5" ht="77.400000000000006" customHeight="1">
      <c r="A7" s="19">
        <v>7</v>
      </c>
      <c r="B7" s="18" t="s">
        <v>102</v>
      </c>
      <c r="C7" s="18" t="s">
        <v>41</v>
      </c>
      <c r="D7" s="22" t="s">
        <v>194</v>
      </c>
      <c r="E7" s="5" t="s">
        <v>196</v>
      </c>
    </row>
  </sheetData>
  <autoFilter ref="A1:E1" xr:uid="{00000000-0009-0000-0000-000001000000}"/>
  <dataValidations count="1">
    <dataValidation type="list" allowBlank="1" showErrorMessage="1" errorTitle="Rodzaj problemu" error="Wybierz wartość z listy rozwijanej." promptTitle="Rodzaj problemu" prompt="Wybierz z listy" sqref="C2 C8:C199" xr:uid="{00000000-0002-0000-0100-000000000000}">
      <formula1>"Niejednoznaczność,Brak (niekompletne),Sprzeczność,Nietestowalne,Inne"</formula1>
      <formula2>0</formula2>
    </dataValidation>
  </dataValidations>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7"/>
  <sheetViews>
    <sheetView zoomScaleNormal="100" workbookViewId="0">
      <pane ySplit="1" topLeftCell="A2" activePane="bottomLeft" state="frozen"/>
      <selection pane="bottomLeft" activeCell="G27" sqref="G27"/>
    </sheetView>
  </sheetViews>
  <sheetFormatPr defaultColWidth="8.6640625" defaultRowHeight="14.4"/>
  <cols>
    <col min="1" max="1" width="12" customWidth="1"/>
    <col min="2" max="2" width="75.109375" customWidth="1"/>
    <col min="3" max="3" width="18" customWidth="1"/>
    <col min="4" max="4" width="12" customWidth="1"/>
    <col min="5" max="5" width="45.44140625" customWidth="1"/>
  </cols>
  <sheetData>
    <row r="1" spans="1:5" ht="31.5" customHeight="1">
      <c r="A1" s="7" t="s">
        <v>44</v>
      </c>
      <c r="B1" s="7" t="s">
        <v>45</v>
      </c>
      <c r="C1" s="7" t="s">
        <v>36</v>
      </c>
      <c r="D1" s="7" t="s">
        <v>46</v>
      </c>
      <c r="E1" s="7" t="s">
        <v>47</v>
      </c>
    </row>
    <row r="2" spans="1:5">
      <c r="A2" s="25" t="s">
        <v>48</v>
      </c>
      <c r="B2" s="24" t="s">
        <v>227</v>
      </c>
      <c r="C2" s="24" t="s">
        <v>80</v>
      </c>
      <c r="D2" s="25" t="s">
        <v>51</v>
      </c>
      <c r="E2" s="24" t="s">
        <v>252</v>
      </c>
    </row>
    <row r="3" spans="1:5">
      <c r="A3" t="s">
        <v>202</v>
      </c>
      <c r="B3" t="s">
        <v>228</v>
      </c>
      <c r="C3" t="s">
        <v>50</v>
      </c>
      <c r="D3" t="s">
        <v>67</v>
      </c>
      <c r="E3" t="s">
        <v>253</v>
      </c>
    </row>
    <row r="4" spans="1:5">
      <c r="A4" s="25" t="s">
        <v>203</v>
      </c>
      <c r="B4" s="24" t="s">
        <v>229</v>
      </c>
      <c r="C4" s="24" t="s">
        <v>50</v>
      </c>
      <c r="D4" s="24" t="s">
        <v>67</v>
      </c>
      <c r="E4" s="24" t="s">
        <v>254</v>
      </c>
    </row>
    <row r="5" spans="1:5">
      <c r="A5" t="s">
        <v>204</v>
      </c>
      <c r="B5" t="s">
        <v>230</v>
      </c>
      <c r="C5" t="s">
        <v>83</v>
      </c>
      <c r="D5" t="s">
        <v>67</v>
      </c>
      <c r="E5" t="s">
        <v>255</v>
      </c>
    </row>
    <row r="6" spans="1:5">
      <c r="A6" s="25" t="s">
        <v>205</v>
      </c>
      <c r="B6" s="24" t="s">
        <v>231</v>
      </c>
      <c r="C6" s="24" t="s">
        <v>83</v>
      </c>
      <c r="D6" s="24" t="s">
        <v>67</v>
      </c>
      <c r="E6" s="24" t="s">
        <v>256</v>
      </c>
    </row>
    <row r="7" spans="1:5">
      <c r="A7" t="s">
        <v>206</v>
      </c>
      <c r="B7" t="s">
        <v>232</v>
      </c>
      <c r="C7" t="s">
        <v>85</v>
      </c>
      <c r="D7" t="s">
        <v>67</v>
      </c>
      <c r="E7" t="s">
        <v>257</v>
      </c>
    </row>
    <row r="8" spans="1:5">
      <c r="A8" s="25" t="s">
        <v>207</v>
      </c>
      <c r="B8" s="24" t="s">
        <v>233</v>
      </c>
      <c r="C8" s="24" t="s">
        <v>85</v>
      </c>
      <c r="D8" s="24" t="s">
        <v>67</v>
      </c>
      <c r="E8" s="24" t="s">
        <v>258</v>
      </c>
    </row>
    <row r="9" spans="1:5">
      <c r="A9" t="s">
        <v>208</v>
      </c>
      <c r="B9" t="s">
        <v>234</v>
      </c>
      <c r="C9" t="s">
        <v>40</v>
      </c>
      <c r="D9" t="s">
        <v>67</v>
      </c>
      <c r="E9" t="s">
        <v>259</v>
      </c>
    </row>
    <row r="10" spans="1:5">
      <c r="A10" s="25" t="s">
        <v>209</v>
      </c>
      <c r="B10" s="24" t="s">
        <v>235</v>
      </c>
      <c r="C10" s="24" t="s">
        <v>40</v>
      </c>
      <c r="D10" s="24" t="s">
        <v>67</v>
      </c>
      <c r="E10" s="24" t="s">
        <v>260</v>
      </c>
    </row>
    <row r="11" spans="1:5">
      <c r="A11" t="s">
        <v>210</v>
      </c>
      <c r="B11" t="s">
        <v>236</v>
      </c>
      <c r="C11" t="s">
        <v>88</v>
      </c>
      <c r="D11" t="s">
        <v>51</v>
      </c>
      <c r="E11" t="s">
        <v>261</v>
      </c>
    </row>
    <row r="12" spans="1:5">
      <c r="A12" s="25" t="s">
        <v>211</v>
      </c>
      <c r="B12" s="24" t="s">
        <v>237</v>
      </c>
      <c r="C12" s="24" t="s">
        <v>90</v>
      </c>
      <c r="D12" s="24" t="s">
        <v>67</v>
      </c>
      <c r="E12" s="24" t="s">
        <v>262</v>
      </c>
    </row>
    <row r="13" spans="1:5">
      <c r="A13" t="s">
        <v>212</v>
      </c>
      <c r="B13" t="s">
        <v>238</v>
      </c>
      <c r="C13" t="s">
        <v>92</v>
      </c>
      <c r="D13" t="s">
        <v>67</v>
      </c>
      <c r="E13" t="s">
        <v>263</v>
      </c>
    </row>
    <row r="14" spans="1:5">
      <c r="A14" s="24" t="s">
        <v>213</v>
      </c>
      <c r="B14" s="24" t="s">
        <v>239</v>
      </c>
      <c r="C14" s="24" t="s">
        <v>94</v>
      </c>
      <c r="D14" s="24" t="s">
        <v>67</v>
      </c>
      <c r="E14" s="24" t="s">
        <v>264</v>
      </c>
    </row>
    <row r="15" spans="1:5">
      <c r="A15" t="s">
        <v>214</v>
      </c>
      <c r="B15" t="s">
        <v>240</v>
      </c>
      <c r="C15" t="s">
        <v>96</v>
      </c>
      <c r="D15" t="s">
        <v>67</v>
      </c>
      <c r="E15" t="s">
        <v>265</v>
      </c>
    </row>
    <row r="16" spans="1:5">
      <c r="A16" s="24" t="s">
        <v>215</v>
      </c>
      <c r="B16" s="24" t="s">
        <v>241</v>
      </c>
      <c r="C16" s="24" t="s">
        <v>96</v>
      </c>
      <c r="D16" s="24" t="s">
        <v>67</v>
      </c>
      <c r="E16" s="24" t="s">
        <v>266</v>
      </c>
    </row>
    <row r="17" spans="1:5">
      <c r="A17" t="s">
        <v>216</v>
      </c>
      <c r="B17" t="s">
        <v>242</v>
      </c>
      <c r="C17" t="s">
        <v>98</v>
      </c>
      <c r="D17" t="s">
        <v>51</v>
      </c>
      <c r="E17" t="s">
        <v>267</v>
      </c>
    </row>
    <row r="18" spans="1:5">
      <c r="A18" s="24" t="s">
        <v>217</v>
      </c>
      <c r="B18" s="24" t="s">
        <v>243</v>
      </c>
      <c r="C18" s="24" t="s">
        <v>98</v>
      </c>
      <c r="D18" s="24" t="s">
        <v>67</v>
      </c>
      <c r="E18" s="24" t="s">
        <v>268</v>
      </c>
    </row>
    <row r="19" spans="1:5">
      <c r="A19" t="s">
        <v>218</v>
      </c>
      <c r="B19" t="s">
        <v>244</v>
      </c>
      <c r="C19" t="s">
        <v>98</v>
      </c>
      <c r="D19" t="s">
        <v>67</v>
      </c>
      <c r="E19" t="s">
        <v>269</v>
      </c>
    </row>
    <row r="20" spans="1:5">
      <c r="A20" s="24" t="s">
        <v>219</v>
      </c>
      <c r="B20" s="24" t="s">
        <v>245</v>
      </c>
      <c r="C20" s="24" t="s">
        <v>98</v>
      </c>
      <c r="D20" s="24" t="s">
        <v>67</v>
      </c>
      <c r="E20" s="24" t="s">
        <v>270</v>
      </c>
    </row>
    <row r="21" spans="1:5">
      <c r="A21" t="s">
        <v>220</v>
      </c>
      <c r="B21" t="s">
        <v>277</v>
      </c>
      <c r="C21" t="s">
        <v>100</v>
      </c>
      <c r="D21" t="s">
        <v>67</v>
      </c>
      <c r="E21" s="17" t="s">
        <v>271</v>
      </c>
    </row>
    <row r="22" spans="1:5">
      <c r="A22" s="24" t="s">
        <v>221</v>
      </c>
      <c r="B22" s="24" t="s">
        <v>246</v>
      </c>
      <c r="C22" s="24" t="s">
        <v>100</v>
      </c>
      <c r="D22" s="24" t="s">
        <v>51</v>
      </c>
      <c r="E22" s="24" t="s">
        <v>272</v>
      </c>
    </row>
    <row r="23" spans="1:5">
      <c r="A23" t="s">
        <v>222</v>
      </c>
      <c r="B23" t="s">
        <v>247</v>
      </c>
      <c r="C23" t="s">
        <v>102</v>
      </c>
      <c r="D23" t="s">
        <v>67</v>
      </c>
      <c r="E23" t="s">
        <v>273</v>
      </c>
    </row>
    <row r="24" spans="1:5">
      <c r="A24" s="24" t="s">
        <v>223</v>
      </c>
      <c r="B24" s="24" t="s">
        <v>248</v>
      </c>
      <c r="C24" s="24" t="s">
        <v>102</v>
      </c>
      <c r="D24" s="24" t="s">
        <v>67</v>
      </c>
      <c r="E24" s="24" t="s">
        <v>274</v>
      </c>
    </row>
    <row r="25" spans="1:5">
      <c r="A25" t="s">
        <v>224</v>
      </c>
      <c r="B25" t="s">
        <v>249</v>
      </c>
      <c r="C25" t="s">
        <v>102</v>
      </c>
      <c r="D25" t="s">
        <v>67</v>
      </c>
      <c r="E25" t="s">
        <v>275</v>
      </c>
    </row>
    <row r="26" spans="1:5">
      <c r="A26" s="24" t="s">
        <v>225</v>
      </c>
      <c r="B26" s="24" t="s">
        <v>250</v>
      </c>
      <c r="C26" s="24" t="s">
        <v>104</v>
      </c>
      <c r="D26" s="24" t="s">
        <v>67</v>
      </c>
      <c r="E26" s="24" t="s">
        <v>276</v>
      </c>
    </row>
    <row r="27" spans="1:5">
      <c r="A27" t="s">
        <v>226</v>
      </c>
      <c r="B27" t="s">
        <v>251</v>
      </c>
      <c r="C27" t="s">
        <v>106</v>
      </c>
      <c r="D27" t="s">
        <v>51</v>
      </c>
      <c r="E27" t="s">
        <v>278</v>
      </c>
    </row>
  </sheetData>
  <autoFilter ref="A1:E1" xr:uid="{00000000-0009-0000-0000-000002000000}"/>
  <phoneticPr fontId="7" type="noConversion"/>
  <dataValidations count="1">
    <dataValidation type="list" allowBlank="1" showErrorMessage="1" errorTitle="Priorytet" error="Wybierz wartość z listy rozwijanej." promptTitle="Priorytet" prompt="Wybierz z listy" sqref="D2 D12:D300" xr:uid="{00000000-0002-0000-0200-000000000000}">
      <formula1>"Wysoki,Średni,Niski"</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34"/>
  <sheetViews>
    <sheetView zoomScaleNormal="100" workbookViewId="0">
      <pane xSplit="2" ySplit="1" topLeftCell="C3" activePane="bottomRight" state="frozen"/>
      <selection pane="topRight" activeCell="C1" sqref="C1"/>
      <selection pane="bottomLeft" activeCell="A2" sqref="A2"/>
      <selection pane="bottomRight" activeCell="J37" sqref="J37"/>
    </sheetView>
  </sheetViews>
  <sheetFormatPr defaultColWidth="8.6640625" defaultRowHeight="14.4"/>
  <cols>
    <col min="1" max="1" width="12" customWidth="1"/>
    <col min="2" max="2" width="36.6640625" customWidth="1"/>
    <col min="3" max="3" width="16" customWidth="1"/>
    <col min="4" max="4" width="22.109375" customWidth="1"/>
    <col min="5" max="5" width="10" customWidth="1"/>
    <col min="6" max="6" width="30" customWidth="1"/>
    <col min="7" max="7" width="32" customWidth="1"/>
    <col min="8" max="8" width="44" customWidth="1"/>
    <col min="9" max="9" width="42" customWidth="1"/>
    <col min="10" max="10" width="30" customWidth="1"/>
    <col min="11" max="11" width="14" customWidth="1"/>
    <col min="12" max="12" width="11" customWidth="1"/>
    <col min="13" max="13" width="12" customWidth="1"/>
    <col min="14" max="14" width="13" customWidth="1"/>
    <col min="15" max="15" width="28" customWidth="1"/>
  </cols>
  <sheetData>
    <row r="1" spans="1:15" ht="31.5" customHeight="1">
      <c r="A1" s="9" t="s">
        <v>44</v>
      </c>
      <c r="B1" s="9" t="s">
        <v>53</v>
      </c>
      <c r="C1" s="9" t="s">
        <v>36</v>
      </c>
      <c r="D1" s="9" t="s">
        <v>54</v>
      </c>
      <c r="E1" s="9" t="s">
        <v>46</v>
      </c>
      <c r="F1" s="9" t="s">
        <v>55</v>
      </c>
      <c r="G1" s="9" t="s">
        <v>56</v>
      </c>
      <c r="H1" s="9" t="s">
        <v>57</v>
      </c>
      <c r="I1" s="9" t="s">
        <v>58</v>
      </c>
      <c r="J1" s="9" t="s">
        <v>59</v>
      </c>
      <c r="K1" s="9" t="s">
        <v>60</v>
      </c>
      <c r="L1" s="9" t="s">
        <v>61</v>
      </c>
      <c r="M1" s="9" t="s">
        <v>62</v>
      </c>
      <c r="N1" s="9" t="s">
        <v>63</v>
      </c>
      <c r="O1" s="9" t="s">
        <v>47</v>
      </c>
    </row>
    <row r="2" spans="1:15" ht="86.4">
      <c r="A2" s="26" t="s">
        <v>64</v>
      </c>
      <c r="B2" s="26" t="s">
        <v>65</v>
      </c>
      <c r="C2" s="26" t="s">
        <v>280</v>
      </c>
      <c r="D2" s="26" t="s">
        <v>66</v>
      </c>
      <c r="E2" s="26" t="s">
        <v>67</v>
      </c>
      <c r="F2" s="26" t="s">
        <v>68</v>
      </c>
      <c r="G2" s="26" t="s">
        <v>69</v>
      </c>
      <c r="H2" s="26" t="s">
        <v>70</v>
      </c>
      <c r="I2" s="26" t="s">
        <v>71</v>
      </c>
      <c r="J2" s="26" t="s">
        <v>413</v>
      </c>
      <c r="K2" s="26" t="s">
        <v>416</v>
      </c>
      <c r="L2" s="26" t="s">
        <v>418</v>
      </c>
      <c r="M2" s="26" t="s">
        <v>279</v>
      </c>
      <c r="N2" s="31">
        <v>46302</v>
      </c>
      <c r="O2" s="26" t="s">
        <v>417</v>
      </c>
    </row>
    <row r="3" spans="1:15" ht="88.05" customHeight="1">
      <c r="A3" s="19" t="s">
        <v>281</v>
      </c>
      <c r="B3" s="19" t="s">
        <v>49</v>
      </c>
      <c r="C3" s="19" t="s">
        <v>50</v>
      </c>
      <c r="D3" s="19" t="s">
        <v>316</v>
      </c>
      <c r="E3" s="19" t="s">
        <v>51</v>
      </c>
      <c r="F3" s="19" t="s">
        <v>319</v>
      </c>
      <c r="G3" s="20" t="s">
        <v>325</v>
      </c>
      <c r="H3" s="20" t="s">
        <v>381</v>
      </c>
      <c r="I3" s="20" t="s">
        <v>415</v>
      </c>
      <c r="J3" s="20" t="s">
        <v>415</v>
      </c>
      <c r="K3" s="19" t="s">
        <v>414</v>
      </c>
      <c r="L3" s="19"/>
      <c r="M3" s="26" t="s">
        <v>279</v>
      </c>
      <c r="N3" s="32">
        <v>46302</v>
      </c>
      <c r="O3" s="19" t="s">
        <v>421</v>
      </c>
    </row>
    <row r="4" spans="1:15" ht="88.05" customHeight="1">
      <c r="A4" s="26" t="s">
        <v>282</v>
      </c>
      <c r="B4" s="19" t="s">
        <v>320</v>
      </c>
      <c r="C4" s="27" t="s">
        <v>50</v>
      </c>
      <c r="D4" s="27" t="s">
        <v>316</v>
      </c>
      <c r="E4" s="27" t="s">
        <v>67</v>
      </c>
      <c r="F4" s="19" t="s">
        <v>319</v>
      </c>
      <c r="G4" s="29" t="s">
        <v>326</v>
      </c>
      <c r="H4" s="29" t="s">
        <v>382</v>
      </c>
      <c r="I4" s="29" t="s">
        <v>450</v>
      </c>
      <c r="J4" s="29" t="s">
        <v>450</v>
      </c>
      <c r="K4" s="27" t="s">
        <v>414</v>
      </c>
      <c r="L4" s="27"/>
      <c r="M4" s="26" t="s">
        <v>279</v>
      </c>
      <c r="N4" s="31">
        <v>46302</v>
      </c>
      <c r="O4" s="29" t="s">
        <v>422</v>
      </c>
    </row>
    <row r="5" spans="1:15" ht="101.4" customHeight="1">
      <c r="A5" s="19" t="s">
        <v>283</v>
      </c>
      <c r="B5" s="19" t="s">
        <v>321</v>
      </c>
      <c r="C5" s="19" t="s">
        <v>50</v>
      </c>
      <c r="D5" s="19" t="s">
        <v>316</v>
      </c>
      <c r="E5" s="19" t="s">
        <v>51</v>
      </c>
      <c r="F5" s="19" t="s">
        <v>319</v>
      </c>
      <c r="G5" s="20" t="s">
        <v>327</v>
      </c>
      <c r="H5" s="20" t="s">
        <v>383</v>
      </c>
      <c r="I5" s="20" t="s">
        <v>451</v>
      </c>
      <c r="J5" s="20" t="s">
        <v>451</v>
      </c>
      <c r="K5" s="19" t="s">
        <v>414</v>
      </c>
      <c r="L5" s="19"/>
      <c r="M5" s="26" t="s">
        <v>279</v>
      </c>
      <c r="N5" s="32">
        <v>46302</v>
      </c>
      <c r="O5" s="20" t="s">
        <v>423</v>
      </c>
    </row>
    <row r="6" spans="1:15" ht="101.4" customHeight="1">
      <c r="A6" s="26" t="s">
        <v>284</v>
      </c>
      <c r="B6" s="19" t="s">
        <v>322</v>
      </c>
      <c r="C6" s="27" t="s">
        <v>50</v>
      </c>
      <c r="D6" s="27" t="s">
        <v>316</v>
      </c>
      <c r="E6" s="27" t="s">
        <v>51</v>
      </c>
      <c r="F6" s="19" t="s">
        <v>319</v>
      </c>
      <c r="G6" s="29" t="s">
        <v>328</v>
      </c>
      <c r="H6" s="29" t="s">
        <v>384</v>
      </c>
      <c r="I6" s="29" t="s">
        <v>450</v>
      </c>
      <c r="J6" s="29" t="s">
        <v>450</v>
      </c>
      <c r="K6" s="27" t="s">
        <v>414</v>
      </c>
      <c r="L6" s="27"/>
      <c r="M6" s="26" t="s">
        <v>279</v>
      </c>
      <c r="N6" s="31">
        <v>46302</v>
      </c>
      <c r="O6" s="29" t="s">
        <v>424</v>
      </c>
    </row>
    <row r="7" spans="1:15" ht="88.05" customHeight="1">
      <c r="A7" s="19" t="s">
        <v>285</v>
      </c>
      <c r="B7" s="19" t="s">
        <v>323</v>
      </c>
      <c r="C7" s="19" t="s">
        <v>50</v>
      </c>
      <c r="D7" s="19" t="s">
        <v>66</v>
      </c>
      <c r="E7" s="19" t="s">
        <v>67</v>
      </c>
      <c r="F7" s="19" t="s">
        <v>319</v>
      </c>
      <c r="G7" s="20" t="s">
        <v>329</v>
      </c>
      <c r="H7" s="20" t="s">
        <v>385</v>
      </c>
      <c r="I7" s="20" t="s">
        <v>450</v>
      </c>
      <c r="J7" s="20" t="s">
        <v>452</v>
      </c>
      <c r="K7" s="19" t="s">
        <v>416</v>
      </c>
      <c r="L7" s="19" t="s">
        <v>419</v>
      </c>
      <c r="M7" s="26" t="s">
        <v>279</v>
      </c>
      <c r="N7" s="32">
        <v>46302</v>
      </c>
      <c r="O7" s="20" t="s">
        <v>420</v>
      </c>
    </row>
    <row r="8" spans="1:15" ht="88.05" customHeight="1">
      <c r="A8" s="26" t="s">
        <v>286</v>
      </c>
      <c r="B8" s="20" t="s">
        <v>324</v>
      </c>
      <c r="C8" s="27" t="s">
        <v>50</v>
      </c>
      <c r="D8" s="27" t="s">
        <v>66</v>
      </c>
      <c r="E8" s="27" t="s">
        <v>51</v>
      </c>
      <c r="F8" s="19" t="s">
        <v>319</v>
      </c>
      <c r="G8" s="29" t="s">
        <v>330</v>
      </c>
      <c r="H8" s="29" t="s">
        <v>386</v>
      </c>
      <c r="I8" s="20" t="s">
        <v>453</v>
      </c>
      <c r="J8" s="20" t="s">
        <v>453</v>
      </c>
      <c r="K8" s="27" t="s">
        <v>414</v>
      </c>
      <c r="L8" s="27"/>
      <c r="M8" s="26" t="s">
        <v>279</v>
      </c>
      <c r="N8" s="31">
        <v>46302</v>
      </c>
      <c r="O8" s="29" t="s">
        <v>425</v>
      </c>
    </row>
    <row r="9" spans="1:15" ht="88.05" customHeight="1">
      <c r="A9" s="19" t="s">
        <v>287</v>
      </c>
      <c r="B9" s="20" t="s">
        <v>355</v>
      </c>
      <c r="C9" s="19" t="s">
        <v>83</v>
      </c>
      <c r="D9" s="19" t="s">
        <v>66</v>
      </c>
      <c r="E9" s="19" t="s">
        <v>67</v>
      </c>
      <c r="F9" s="19" t="s">
        <v>319</v>
      </c>
      <c r="G9" s="20" t="s">
        <v>331</v>
      </c>
      <c r="H9" s="20" t="s">
        <v>387</v>
      </c>
      <c r="I9" s="20" t="s">
        <v>454</v>
      </c>
      <c r="J9" s="20" t="s">
        <v>454</v>
      </c>
      <c r="K9" s="27" t="s">
        <v>414</v>
      </c>
      <c r="L9" s="19"/>
      <c r="M9" s="26" t="s">
        <v>279</v>
      </c>
      <c r="N9" s="32">
        <v>46302</v>
      </c>
      <c r="O9" s="19" t="s">
        <v>426</v>
      </c>
    </row>
    <row r="10" spans="1:15" ht="88.05" customHeight="1">
      <c r="A10" s="28" t="s">
        <v>288</v>
      </c>
      <c r="B10" s="19" t="s">
        <v>356</v>
      </c>
      <c r="C10" s="19" t="s">
        <v>83</v>
      </c>
      <c r="D10" s="19" t="s">
        <v>66</v>
      </c>
      <c r="E10" s="27" t="s">
        <v>67</v>
      </c>
      <c r="F10" s="19" t="s">
        <v>319</v>
      </c>
      <c r="G10" s="20" t="s">
        <v>332</v>
      </c>
      <c r="H10" s="20" t="s">
        <v>388</v>
      </c>
      <c r="I10" s="20" t="s">
        <v>454</v>
      </c>
      <c r="J10" s="20" t="s">
        <v>454</v>
      </c>
      <c r="K10" s="27" t="s">
        <v>414</v>
      </c>
      <c r="L10" s="19"/>
      <c r="M10" s="26" t="s">
        <v>279</v>
      </c>
      <c r="N10" s="31">
        <v>46302</v>
      </c>
      <c r="O10" s="19" t="s">
        <v>427</v>
      </c>
    </row>
    <row r="11" spans="1:15" ht="88.05" customHeight="1">
      <c r="A11" s="19" t="s">
        <v>289</v>
      </c>
      <c r="B11" s="19" t="s">
        <v>357</v>
      </c>
      <c r="C11" s="19" t="s">
        <v>85</v>
      </c>
      <c r="D11" s="19" t="s">
        <v>316</v>
      </c>
      <c r="E11" s="19" t="s">
        <v>51</v>
      </c>
      <c r="F11" s="19" t="s">
        <v>319</v>
      </c>
      <c r="G11" s="20" t="s">
        <v>333</v>
      </c>
      <c r="H11" s="20" t="s">
        <v>389</v>
      </c>
      <c r="I11" s="20" t="s">
        <v>455</v>
      </c>
      <c r="J11" s="20" t="s">
        <v>455</v>
      </c>
      <c r="K11" s="27" t="s">
        <v>414</v>
      </c>
      <c r="L11" s="19"/>
      <c r="M11" s="26" t="s">
        <v>279</v>
      </c>
      <c r="N11" s="32">
        <v>46302</v>
      </c>
      <c r="O11" s="20" t="s">
        <v>428</v>
      </c>
    </row>
    <row r="12" spans="1:15" ht="88.05" customHeight="1">
      <c r="A12" s="28" t="s">
        <v>290</v>
      </c>
      <c r="B12" s="19" t="s">
        <v>358</v>
      </c>
      <c r="C12" s="19" t="s">
        <v>85</v>
      </c>
      <c r="D12" s="19" t="s">
        <v>316</v>
      </c>
      <c r="E12" s="27" t="s">
        <v>67</v>
      </c>
      <c r="F12" s="19" t="s">
        <v>319</v>
      </c>
      <c r="G12" s="20" t="s">
        <v>334</v>
      </c>
      <c r="H12" s="20" t="s">
        <v>390</v>
      </c>
      <c r="I12" s="20" t="s">
        <v>456</v>
      </c>
      <c r="J12" s="20" t="s">
        <v>456</v>
      </c>
      <c r="K12" s="27" t="s">
        <v>414</v>
      </c>
      <c r="L12" s="19"/>
      <c r="M12" s="26" t="s">
        <v>279</v>
      </c>
      <c r="N12" s="31">
        <v>46302</v>
      </c>
      <c r="O12" s="20" t="s">
        <v>429</v>
      </c>
    </row>
    <row r="13" spans="1:15" ht="88.05" customHeight="1">
      <c r="A13" s="19" t="s">
        <v>291</v>
      </c>
      <c r="B13" s="19" t="s">
        <v>359</v>
      </c>
      <c r="C13" s="19" t="s">
        <v>85</v>
      </c>
      <c r="D13" s="19" t="s">
        <v>316</v>
      </c>
      <c r="E13" s="19" t="s">
        <v>51</v>
      </c>
      <c r="F13" s="19" t="s">
        <v>319</v>
      </c>
      <c r="G13" s="20" t="s">
        <v>335</v>
      </c>
      <c r="H13" s="20" t="s">
        <v>391</v>
      </c>
      <c r="I13" s="20" t="s">
        <v>455</v>
      </c>
      <c r="J13" s="20" t="s">
        <v>455</v>
      </c>
      <c r="K13" s="27" t="s">
        <v>414</v>
      </c>
      <c r="L13" s="19"/>
      <c r="M13" s="26" t="s">
        <v>279</v>
      </c>
      <c r="N13" s="32">
        <v>46302</v>
      </c>
      <c r="O13" s="20" t="s">
        <v>430</v>
      </c>
    </row>
    <row r="14" spans="1:15" ht="88.05" customHeight="1">
      <c r="A14" s="28" t="s">
        <v>292</v>
      </c>
      <c r="B14" s="19" t="s">
        <v>360</v>
      </c>
      <c r="C14" s="19" t="s">
        <v>85</v>
      </c>
      <c r="D14" s="19" t="s">
        <v>316</v>
      </c>
      <c r="E14" s="27" t="s">
        <v>67</v>
      </c>
      <c r="F14" s="19" t="s">
        <v>319</v>
      </c>
      <c r="G14" s="20" t="s">
        <v>336</v>
      </c>
      <c r="H14" s="20" t="s">
        <v>392</v>
      </c>
      <c r="I14" s="20" t="s">
        <v>456</v>
      </c>
      <c r="J14" s="20" t="s">
        <v>456</v>
      </c>
      <c r="K14" s="27" t="s">
        <v>414</v>
      </c>
      <c r="L14" s="19"/>
      <c r="M14" s="26" t="s">
        <v>279</v>
      </c>
      <c r="N14" s="31">
        <v>46302</v>
      </c>
      <c r="O14" s="20" t="s">
        <v>431</v>
      </c>
    </row>
    <row r="15" spans="1:15" ht="88.05" customHeight="1">
      <c r="A15" s="19" t="s">
        <v>293</v>
      </c>
      <c r="B15" s="19" t="s">
        <v>361</v>
      </c>
      <c r="C15" s="19" t="s">
        <v>40</v>
      </c>
      <c r="D15" s="19" t="s">
        <v>316</v>
      </c>
      <c r="E15" s="19" t="s">
        <v>51</v>
      </c>
      <c r="F15" s="19" t="s">
        <v>319</v>
      </c>
      <c r="G15" s="20" t="s">
        <v>337</v>
      </c>
      <c r="H15" s="20" t="s">
        <v>393</v>
      </c>
      <c r="I15" s="19" t="s">
        <v>457</v>
      </c>
      <c r="J15" s="19" t="s">
        <v>457</v>
      </c>
      <c r="K15" s="27" t="s">
        <v>414</v>
      </c>
      <c r="L15" s="19"/>
      <c r="M15" s="26" t="s">
        <v>279</v>
      </c>
      <c r="N15" s="32">
        <v>46302</v>
      </c>
      <c r="O15" s="19" t="s">
        <v>432</v>
      </c>
    </row>
    <row r="16" spans="1:15" ht="88.05" customHeight="1">
      <c r="A16" s="28" t="s">
        <v>294</v>
      </c>
      <c r="B16" s="19" t="s">
        <v>362</v>
      </c>
      <c r="C16" s="19" t="s">
        <v>40</v>
      </c>
      <c r="D16" s="19" t="s">
        <v>316</v>
      </c>
      <c r="E16" s="27" t="s">
        <v>67</v>
      </c>
      <c r="F16" s="19" t="s">
        <v>319</v>
      </c>
      <c r="G16" s="20" t="s">
        <v>338</v>
      </c>
      <c r="H16" s="20" t="s">
        <v>394</v>
      </c>
      <c r="I16" s="20" t="s">
        <v>458</v>
      </c>
      <c r="J16" s="20" t="s">
        <v>458</v>
      </c>
      <c r="K16" s="19" t="s">
        <v>414</v>
      </c>
      <c r="L16" s="19"/>
      <c r="M16" s="26" t="s">
        <v>279</v>
      </c>
      <c r="N16" s="31">
        <v>46302</v>
      </c>
      <c r="O16" s="19" t="s">
        <v>433</v>
      </c>
    </row>
    <row r="17" spans="1:15" ht="88.05" customHeight="1">
      <c r="A17" s="19" t="s">
        <v>295</v>
      </c>
      <c r="B17" s="20" t="s">
        <v>363</v>
      </c>
      <c r="C17" s="19" t="s">
        <v>40</v>
      </c>
      <c r="D17" s="19" t="s">
        <v>316</v>
      </c>
      <c r="E17" s="19" t="s">
        <v>51</v>
      </c>
      <c r="F17" s="19" t="s">
        <v>319</v>
      </c>
      <c r="G17" s="20" t="s">
        <v>339</v>
      </c>
      <c r="H17" s="20" t="s">
        <v>395</v>
      </c>
      <c r="I17" s="19" t="s">
        <v>459</v>
      </c>
      <c r="J17" s="19" t="s">
        <v>459</v>
      </c>
      <c r="K17" s="19" t="s">
        <v>414</v>
      </c>
      <c r="L17" s="19"/>
      <c r="M17" s="26" t="s">
        <v>279</v>
      </c>
      <c r="N17" s="32">
        <v>46302</v>
      </c>
      <c r="O17" s="19" t="s">
        <v>434</v>
      </c>
    </row>
    <row r="18" spans="1:15" ht="88.05" customHeight="1">
      <c r="A18" s="28" t="s">
        <v>296</v>
      </c>
      <c r="B18" s="20" t="s">
        <v>364</v>
      </c>
      <c r="C18" s="19" t="s">
        <v>40</v>
      </c>
      <c r="D18" s="19" t="s">
        <v>316</v>
      </c>
      <c r="E18" s="27" t="s">
        <v>67</v>
      </c>
      <c r="F18" s="19" t="s">
        <v>319</v>
      </c>
      <c r="G18" s="20" t="s">
        <v>340</v>
      </c>
      <c r="H18" s="20" t="s">
        <v>396</v>
      </c>
      <c r="I18" s="20" t="s">
        <v>458</v>
      </c>
      <c r="J18" s="20" t="s">
        <v>460</v>
      </c>
      <c r="K18" s="19" t="s">
        <v>416</v>
      </c>
      <c r="L18" s="19" t="s">
        <v>138</v>
      </c>
      <c r="M18" s="26" t="s">
        <v>279</v>
      </c>
      <c r="N18" s="31">
        <v>46302</v>
      </c>
      <c r="O18" s="20" t="s">
        <v>461</v>
      </c>
    </row>
    <row r="19" spans="1:15" ht="88.05" customHeight="1">
      <c r="A19" s="19" t="s">
        <v>297</v>
      </c>
      <c r="B19" s="20" t="s">
        <v>365</v>
      </c>
      <c r="C19" s="19" t="s">
        <v>90</v>
      </c>
      <c r="D19" s="19" t="s">
        <v>66</v>
      </c>
      <c r="E19" s="19" t="s">
        <v>67</v>
      </c>
      <c r="F19" s="19" t="s">
        <v>319</v>
      </c>
      <c r="G19" s="20" t="s">
        <v>341</v>
      </c>
      <c r="H19" s="20" t="s">
        <v>397</v>
      </c>
      <c r="I19" s="20" t="s">
        <v>465</v>
      </c>
      <c r="J19" s="20" t="s">
        <v>465</v>
      </c>
      <c r="K19" s="19" t="s">
        <v>414</v>
      </c>
      <c r="L19" s="19"/>
      <c r="M19" s="26" t="s">
        <v>279</v>
      </c>
      <c r="N19" s="32">
        <v>46302</v>
      </c>
      <c r="O19" s="19" t="s">
        <v>435</v>
      </c>
    </row>
    <row r="20" spans="1:15" ht="88.05" customHeight="1">
      <c r="A20" s="28" t="s">
        <v>298</v>
      </c>
      <c r="B20" s="20" t="s">
        <v>366</v>
      </c>
      <c r="C20" s="19" t="s">
        <v>80</v>
      </c>
      <c r="D20" s="19" t="s">
        <v>317</v>
      </c>
      <c r="E20" s="27" t="s">
        <v>51</v>
      </c>
      <c r="F20" s="19" t="s">
        <v>319</v>
      </c>
      <c r="G20" s="26" t="s">
        <v>69</v>
      </c>
      <c r="H20" s="23" t="s">
        <v>398</v>
      </c>
      <c r="I20" s="20" t="s">
        <v>463</v>
      </c>
      <c r="J20" s="20" t="s">
        <v>462</v>
      </c>
      <c r="K20" s="19" t="s">
        <v>416</v>
      </c>
      <c r="L20" s="19" t="s">
        <v>464</v>
      </c>
      <c r="M20" s="26" t="s">
        <v>279</v>
      </c>
      <c r="N20" s="31">
        <v>46302</v>
      </c>
      <c r="O20" s="20" t="s">
        <v>436</v>
      </c>
    </row>
    <row r="21" spans="1:15" ht="88.05" customHeight="1">
      <c r="A21" s="19" t="s">
        <v>299</v>
      </c>
      <c r="B21" s="20" t="s">
        <v>367</v>
      </c>
      <c r="C21" s="19" t="s">
        <v>96</v>
      </c>
      <c r="D21" s="19" t="s">
        <v>316</v>
      </c>
      <c r="E21" s="19" t="s">
        <v>67</v>
      </c>
      <c r="F21" s="19" t="s">
        <v>319</v>
      </c>
      <c r="G21" s="20" t="s">
        <v>342</v>
      </c>
      <c r="H21" s="20" t="s">
        <v>399</v>
      </c>
      <c r="I21" s="19" t="s">
        <v>466</v>
      </c>
      <c r="J21" s="19" t="s">
        <v>466</v>
      </c>
      <c r="K21" s="19" t="s">
        <v>414</v>
      </c>
      <c r="L21" s="19"/>
      <c r="M21" s="26" t="s">
        <v>279</v>
      </c>
      <c r="N21" s="32">
        <v>46302</v>
      </c>
      <c r="O21" s="19" t="s">
        <v>437</v>
      </c>
    </row>
    <row r="22" spans="1:15" ht="88.05" customHeight="1">
      <c r="A22" s="19" t="s">
        <v>300</v>
      </c>
      <c r="B22" s="20" t="s">
        <v>368</v>
      </c>
      <c r="C22" s="20" t="s">
        <v>313</v>
      </c>
      <c r="D22" s="19" t="s">
        <v>316</v>
      </c>
      <c r="E22" s="27" t="s">
        <v>67</v>
      </c>
      <c r="F22" s="19" t="s">
        <v>319</v>
      </c>
      <c r="G22" s="20" t="s">
        <v>343</v>
      </c>
      <c r="H22" s="20" t="s">
        <v>400</v>
      </c>
      <c r="I22" s="20" t="s">
        <v>467</v>
      </c>
      <c r="J22" s="20" t="s">
        <v>467</v>
      </c>
      <c r="K22" s="19" t="s">
        <v>414</v>
      </c>
      <c r="L22" s="19"/>
      <c r="M22" s="26" t="s">
        <v>279</v>
      </c>
      <c r="N22" s="31">
        <v>46302</v>
      </c>
      <c r="O22" s="19" t="s">
        <v>438</v>
      </c>
    </row>
    <row r="23" spans="1:15" ht="88.05" customHeight="1">
      <c r="A23" s="19" t="s">
        <v>301</v>
      </c>
      <c r="B23" s="20" t="s">
        <v>369</v>
      </c>
      <c r="C23" s="20" t="s">
        <v>313</v>
      </c>
      <c r="D23" s="19" t="s">
        <v>316</v>
      </c>
      <c r="E23" s="19" t="s">
        <v>67</v>
      </c>
      <c r="F23" s="19" t="s">
        <v>319</v>
      </c>
      <c r="G23" s="20" t="s">
        <v>344</v>
      </c>
      <c r="H23" s="20" t="s">
        <v>401</v>
      </c>
      <c r="I23" s="20" t="s">
        <v>467</v>
      </c>
      <c r="J23" s="20" t="s">
        <v>467</v>
      </c>
      <c r="K23" s="19" t="s">
        <v>414</v>
      </c>
      <c r="L23" s="19"/>
      <c r="M23" s="26" t="s">
        <v>279</v>
      </c>
      <c r="N23" s="32">
        <v>46302</v>
      </c>
      <c r="O23" s="19" t="s">
        <v>438</v>
      </c>
    </row>
    <row r="24" spans="1:15" ht="88.05" customHeight="1">
      <c r="A24" s="19" t="s">
        <v>302</v>
      </c>
      <c r="B24" s="20" t="s">
        <v>370</v>
      </c>
      <c r="C24" s="19" t="s">
        <v>96</v>
      </c>
      <c r="D24" s="19" t="s">
        <v>316</v>
      </c>
      <c r="E24" s="27" t="s">
        <v>67</v>
      </c>
      <c r="F24" s="19" t="s">
        <v>319</v>
      </c>
      <c r="G24" s="20" t="s">
        <v>345</v>
      </c>
      <c r="H24" s="20" t="s">
        <v>402</v>
      </c>
      <c r="I24" s="20" t="s">
        <v>468</v>
      </c>
      <c r="J24" s="20" t="s">
        <v>469</v>
      </c>
      <c r="K24" s="19" t="s">
        <v>416</v>
      </c>
      <c r="L24" s="19" t="s">
        <v>470</v>
      </c>
      <c r="M24" s="26" t="s">
        <v>279</v>
      </c>
      <c r="N24" s="31">
        <v>46302</v>
      </c>
      <c r="O24" s="20" t="s">
        <v>439</v>
      </c>
    </row>
    <row r="25" spans="1:15" ht="88.05" customHeight="1">
      <c r="A25" s="19" t="s">
        <v>303</v>
      </c>
      <c r="B25" s="19" t="s">
        <v>371</v>
      </c>
      <c r="C25" s="19" t="s">
        <v>96</v>
      </c>
      <c r="D25" s="19" t="s">
        <v>316</v>
      </c>
      <c r="E25" s="19" t="s">
        <v>51</v>
      </c>
      <c r="F25" s="19" t="s">
        <v>319</v>
      </c>
      <c r="G25" s="20" t="s">
        <v>346</v>
      </c>
      <c r="H25" s="20" t="s">
        <v>403</v>
      </c>
      <c r="I25" s="19" t="s">
        <v>471</v>
      </c>
      <c r="J25" s="19" t="s">
        <v>471</v>
      </c>
      <c r="K25" s="19" t="s">
        <v>414</v>
      </c>
      <c r="L25" s="19"/>
      <c r="M25" s="26" t="s">
        <v>279</v>
      </c>
      <c r="N25" s="32">
        <v>46302</v>
      </c>
      <c r="O25" s="19" t="s">
        <v>440</v>
      </c>
    </row>
    <row r="26" spans="1:15" ht="88.05" customHeight="1">
      <c r="A26" s="19" t="s">
        <v>304</v>
      </c>
      <c r="B26" s="20" t="s">
        <v>372</v>
      </c>
      <c r="C26" s="19" t="s">
        <v>98</v>
      </c>
      <c r="D26" s="19" t="s">
        <v>318</v>
      </c>
      <c r="E26" s="27" t="s">
        <v>67</v>
      </c>
      <c r="F26" s="19" t="s">
        <v>319</v>
      </c>
      <c r="G26" s="20" t="s">
        <v>347</v>
      </c>
      <c r="H26" s="20" t="s">
        <v>404</v>
      </c>
      <c r="I26" s="19" t="s">
        <v>472</v>
      </c>
      <c r="J26" s="19" t="s">
        <v>472</v>
      </c>
      <c r="K26" s="19" t="s">
        <v>414</v>
      </c>
      <c r="L26" s="19"/>
      <c r="M26" s="26" t="s">
        <v>279</v>
      </c>
      <c r="N26" s="31">
        <v>46302</v>
      </c>
      <c r="O26" s="19" t="s">
        <v>441</v>
      </c>
    </row>
    <row r="27" spans="1:15" ht="88.05" customHeight="1">
      <c r="A27" s="19" t="s">
        <v>305</v>
      </c>
      <c r="B27" s="20" t="s">
        <v>373</v>
      </c>
      <c r="C27" s="20" t="s">
        <v>314</v>
      </c>
      <c r="D27" s="19" t="s">
        <v>318</v>
      </c>
      <c r="E27" s="19" t="s">
        <v>67</v>
      </c>
      <c r="F27" s="19" t="s">
        <v>319</v>
      </c>
      <c r="G27" s="20" t="s">
        <v>348</v>
      </c>
      <c r="H27" s="20" t="s">
        <v>405</v>
      </c>
      <c r="I27" s="19" t="s">
        <v>472</v>
      </c>
      <c r="J27" s="19" t="s">
        <v>472</v>
      </c>
      <c r="K27" s="19" t="s">
        <v>414</v>
      </c>
      <c r="L27" s="19"/>
      <c r="M27" s="26" t="s">
        <v>279</v>
      </c>
      <c r="N27" s="32">
        <v>46302</v>
      </c>
      <c r="O27" s="20" t="s">
        <v>442</v>
      </c>
    </row>
    <row r="28" spans="1:15" ht="88.05" customHeight="1">
      <c r="A28" s="19" t="s">
        <v>306</v>
      </c>
      <c r="B28" s="20" t="s">
        <v>374</v>
      </c>
      <c r="C28" s="19" t="s">
        <v>100</v>
      </c>
      <c r="D28" s="19" t="s">
        <v>66</v>
      </c>
      <c r="E28" s="27" t="s">
        <v>67</v>
      </c>
      <c r="F28" s="19" t="s">
        <v>319</v>
      </c>
      <c r="G28" s="20" t="s">
        <v>349</v>
      </c>
      <c r="H28" s="20" t="s">
        <v>406</v>
      </c>
      <c r="I28" s="20" t="s">
        <v>473</v>
      </c>
      <c r="J28" s="20" t="s">
        <v>478</v>
      </c>
      <c r="K28" s="19" t="s">
        <v>416</v>
      </c>
      <c r="L28" s="19" t="s">
        <v>474</v>
      </c>
      <c r="M28" s="26" t="s">
        <v>279</v>
      </c>
      <c r="N28" s="31">
        <v>46302</v>
      </c>
      <c r="O28" s="20" t="s">
        <v>443</v>
      </c>
    </row>
    <row r="29" spans="1:15" ht="88.05" customHeight="1">
      <c r="A29" s="19" t="s">
        <v>307</v>
      </c>
      <c r="B29" s="20" t="s">
        <v>375</v>
      </c>
      <c r="C29" s="19" t="s">
        <v>98</v>
      </c>
      <c r="D29" s="19" t="s">
        <v>318</v>
      </c>
      <c r="E29" s="19" t="s">
        <v>67</v>
      </c>
      <c r="F29" s="19" t="s">
        <v>319</v>
      </c>
      <c r="G29" s="20" t="s">
        <v>350</v>
      </c>
      <c r="H29" s="20" t="s">
        <v>407</v>
      </c>
      <c r="I29" s="20" t="s">
        <v>476</v>
      </c>
      <c r="J29" s="20" t="s">
        <v>477</v>
      </c>
      <c r="K29" s="19" t="s">
        <v>416</v>
      </c>
      <c r="L29" s="19" t="s">
        <v>475</v>
      </c>
      <c r="M29" s="26" t="s">
        <v>279</v>
      </c>
      <c r="N29" s="32">
        <v>46302</v>
      </c>
      <c r="O29" s="20" t="s">
        <v>444</v>
      </c>
    </row>
    <row r="30" spans="1:15" ht="88.05" customHeight="1">
      <c r="A30" s="19" t="s">
        <v>308</v>
      </c>
      <c r="B30" s="20" t="s">
        <v>376</v>
      </c>
      <c r="C30" s="20" t="s">
        <v>315</v>
      </c>
      <c r="D30" s="19" t="s">
        <v>66</v>
      </c>
      <c r="E30" s="27" t="s">
        <v>51</v>
      </c>
      <c r="F30" s="19" t="s">
        <v>319</v>
      </c>
      <c r="G30" s="20" t="s">
        <v>351</v>
      </c>
      <c r="H30" s="20" t="s">
        <v>408</v>
      </c>
      <c r="I30" s="20" t="s">
        <v>479</v>
      </c>
      <c r="J30" s="20" t="s">
        <v>479</v>
      </c>
      <c r="K30" s="19" t="s">
        <v>414</v>
      </c>
      <c r="L30" s="19"/>
      <c r="M30" s="26" t="s">
        <v>279</v>
      </c>
      <c r="N30" s="31">
        <v>46302</v>
      </c>
      <c r="O30" s="20" t="s">
        <v>445</v>
      </c>
    </row>
    <row r="31" spans="1:15" ht="88.05" customHeight="1">
      <c r="A31" s="19" t="s">
        <v>309</v>
      </c>
      <c r="B31" s="20" t="s">
        <v>377</v>
      </c>
      <c r="C31" s="19" t="s">
        <v>102</v>
      </c>
      <c r="D31" s="19" t="s">
        <v>316</v>
      </c>
      <c r="E31" s="19" t="s">
        <v>67</v>
      </c>
      <c r="F31" s="19" t="s">
        <v>319</v>
      </c>
      <c r="G31" s="20" t="s">
        <v>352</v>
      </c>
      <c r="H31" s="20" t="s">
        <v>409</v>
      </c>
      <c r="I31" s="20" t="s">
        <v>480</v>
      </c>
      <c r="J31" s="20" t="s">
        <v>480</v>
      </c>
      <c r="K31" s="19" t="s">
        <v>414</v>
      </c>
      <c r="L31" s="19"/>
      <c r="M31" s="26" t="s">
        <v>279</v>
      </c>
      <c r="N31" s="32">
        <v>46302</v>
      </c>
      <c r="O31" s="20" t="s">
        <v>446</v>
      </c>
    </row>
    <row r="32" spans="1:15" ht="88.05" customHeight="1">
      <c r="A32" s="19" t="s">
        <v>310</v>
      </c>
      <c r="B32" s="20" t="s">
        <v>378</v>
      </c>
      <c r="C32" s="19" t="s">
        <v>102</v>
      </c>
      <c r="D32" s="19" t="s">
        <v>316</v>
      </c>
      <c r="E32" s="27" t="s">
        <v>67</v>
      </c>
      <c r="F32" s="19" t="s">
        <v>319</v>
      </c>
      <c r="G32" s="20" t="s">
        <v>353</v>
      </c>
      <c r="H32" s="20" t="s">
        <v>410</v>
      </c>
      <c r="I32" s="20" t="s">
        <v>481</v>
      </c>
      <c r="J32" s="20" t="s">
        <v>481</v>
      </c>
      <c r="K32" s="19" t="s">
        <v>414</v>
      </c>
      <c r="L32" s="19"/>
      <c r="M32" s="26" t="s">
        <v>279</v>
      </c>
      <c r="N32" s="31">
        <v>46302</v>
      </c>
      <c r="O32" s="19" t="s">
        <v>447</v>
      </c>
    </row>
    <row r="33" spans="1:15" ht="88.05" customHeight="1">
      <c r="A33" s="19" t="s">
        <v>311</v>
      </c>
      <c r="B33" s="20" t="s">
        <v>379</v>
      </c>
      <c r="C33" s="19" t="s">
        <v>102</v>
      </c>
      <c r="D33" s="19" t="s">
        <v>318</v>
      </c>
      <c r="E33" s="19" t="s">
        <v>67</v>
      </c>
      <c r="F33" s="19" t="s">
        <v>319</v>
      </c>
      <c r="G33" s="20" t="s">
        <v>347</v>
      </c>
      <c r="H33" s="20" t="s">
        <v>411</v>
      </c>
      <c r="I33" s="19" t="s">
        <v>482</v>
      </c>
      <c r="J33" s="19" t="s">
        <v>482</v>
      </c>
      <c r="K33" s="19" t="s">
        <v>414</v>
      </c>
      <c r="L33" s="19"/>
      <c r="M33" s="26" t="s">
        <v>279</v>
      </c>
      <c r="N33" s="32">
        <v>46302</v>
      </c>
      <c r="O33" s="20" t="s">
        <v>448</v>
      </c>
    </row>
    <row r="34" spans="1:15" ht="88.05" customHeight="1">
      <c r="A34" s="19" t="s">
        <v>312</v>
      </c>
      <c r="B34" s="20" t="s">
        <v>380</v>
      </c>
      <c r="C34" s="19" t="s">
        <v>104</v>
      </c>
      <c r="D34" s="19" t="s">
        <v>317</v>
      </c>
      <c r="E34" s="27" t="s">
        <v>51</v>
      </c>
      <c r="F34" s="19" t="s">
        <v>319</v>
      </c>
      <c r="G34" s="20" t="s">
        <v>354</v>
      </c>
      <c r="H34" s="20" t="s">
        <v>412</v>
      </c>
      <c r="I34" s="19" t="s">
        <v>483</v>
      </c>
      <c r="J34" s="19" t="s">
        <v>483</v>
      </c>
      <c r="K34" s="19" t="s">
        <v>414</v>
      </c>
      <c r="L34" s="19"/>
      <c r="M34" s="26" t="s">
        <v>279</v>
      </c>
      <c r="N34" s="31">
        <v>46302</v>
      </c>
      <c r="O34" s="19" t="s">
        <v>449</v>
      </c>
    </row>
  </sheetData>
  <autoFilter ref="A1:O1" xr:uid="{00000000-0009-0000-0000-000003000000}"/>
  <phoneticPr fontId="7" type="noConversion"/>
  <dataValidations count="3">
    <dataValidation type="list" allowBlank="1" showInputMessage="1" showErrorMessage="1" errorTitle="Technika" error="Wybierz wartość z listy rozwijanej." promptTitle="Technika" prompt="Wybierz z listy" sqref="D2:D300" xr:uid="{00000000-0002-0000-0300-000000000000}">
      <formula1>"EP,AWB,Tablica decyzyjna,Przejścia stanów,Przypadki użycia,Doświadczenie,Lista kontrolna,Na podstawie wymagania"</formula1>
      <formula2>0</formula2>
    </dataValidation>
    <dataValidation type="list" allowBlank="1" showInputMessage="1" showErrorMessage="1" errorTitle="Priorytet" error="Wybierz wartość z listy rozwijanej." promptTitle="Priorytet" prompt="Wybierz z listy" sqref="E2:E300" xr:uid="{00000000-0002-0000-0300-000001000000}">
      <formula1>"Wysoki,Średni,Niski"</formula1>
      <formula2>0</formula2>
    </dataValidation>
    <dataValidation type="list" allowBlank="1" showInputMessage="1" showErrorMessage="1" errorTitle="Status" error="Wybierz wartość z listy rozwijanej." promptTitle="Status" prompt="Wybierz z listy" sqref="K2:K300" xr:uid="{00000000-0002-0000-0300-000002000000}">
      <formula1>"Nie wykonano,Zaliczony,Niezaliczony,Zablokowany,Pominięty"</formula1>
      <formula2>0</formula2>
    </dataValidation>
  </dataValidation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20"/>
  <sheetViews>
    <sheetView zoomScaleNormal="100" workbookViewId="0">
      <pane xSplit="1" ySplit="1" topLeftCell="B2" activePane="bottomRight" state="frozen"/>
      <selection pane="topRight" activeCell="B1" sqref="B1"/>
      <selection pane="bottomLeft" activeCell="A2" sqref="A2"/>
      <selection pane="bottomRight" activeCell="I2" sqref="I2"/>
    </sheetView>
  </sheetViews>
  <sheetFormatPr defaultColWidth="8.6640625" defaultRowHeight="14.4"/>
  <cols>
    <col min="1" max="1" width="14" customWidth="1"/>
    <col min="2" max="2" width="50" customWidth="1"/>
    <col min="3" max="3" width="10" customWidth="1"/>
    <col min="4" max="4" width="34" customWidth="1"/>
    <col min="5" max="5" width="11" customWidth="1"/>
    <col min="6" max="6" width="10" customWidth="1"/>
    <col min="7" max="7" width="11" customWidth="1"/>
    <col min="8" max="8" width="12" customWidth="1"/>
    <col min="9" max="9" width="36" customWidth="1"/>
  </cols>
  <sheetData>
    <row r="1" spans="1:9" ht="31.5" customHeight="1">
      <c r="A1" s="9" t="s">
        <v>73</v>
      </c>
      <c r="B1" s="9" t="s">
        <v>74</v>
      </c>
      <c r="C1" s="9" t="s">
        <v>46</v>
      </c>
      <c r="D1" s="9" t="s">
        <v>75</v>
      </c>
      <c r="E1" s="9" t="s">
        <v>76</v>
      </c>
      <c r="F1" s="9" t="s">
        <v>77</v>
      </c>
      <c r="G1" s="9" t="s">
        <v>78</v>
      </c>
      <c r="H1" s="9" t="s">
        <v>79</v>
      </c>
      <c r="I1" s="9" t="s">
        <v>47</v>
      </c>
    </row>
    <row r="2" spans="1:9">
      <c r="A2" s="11" t="s">
        <v>80</v>
      </c>
      <c r="B2" s="11" t="s">
        <v>81</v>
      </c>
      <c r="C2" s="11" t="s">
        <v>51</v>
      </c>
      <c r="D2" t="s">
        <v>298</v>
      </c>
      <c r="E2" s="10">
        <f>IF(A2="","",COUNTIF('Przypadki testowe'!$C$2:$C$300,"*"&amp;A2&amp;"*"))</f>
        <v>1</v>
      </c>
      <c r="F2" s="10">
        <f>IF(A2="","",COUNTIFS('Przypadki testowe'!$C$2:$C$300,"*"&amp;A2&amp;"*",'Przypadki testowe'!$K$2:$K$300,"Zaliczony"))</f>
        <v>0</v>
      </c>
      <c r="G2" s="10">
        <f>IF(A2="","",COUNTIFS('Przypadki testowe'!$C$2:$C$300,"*"&amp;A2&amp;"*",'Przypadki testowe'!$K$2:$K$300,"Niezaliczony"))</f>
        <v>1</v>
      </c>
      <c r="H2" s="10" t="str">
        <f t="shared" ref="H2:H33" si="0">IF(A2="","",IF(E2&gt;0,"Pokryte","BRAK"))</f>
        <v>Pokryte</v>
      </c>
      <c r="I2" s="11"/>
    </row>
    <row r="3" spans="1:9" ht="27.6" customHeight="1">
      <c r="A3" t="s">
        <v>50</v>
      </c>
      <c r="B3" t="s">
        <v>82</v>
      </c>
      <c r="C3" t="s">
        <v>67</v>
      </c>
      <c r="D3" s="22" t="s">
        <v>484</v>
      </c>
      <c r="E3">
        <f>IF(A3="","",COUNTIF('Przypadki testowe'!$C$2:$C$300,"*"&amp;A3&amp;"*"))</f>
        <v>6</v>
      </c>
      <c r="F3">
        <f>IF(A3="","",COUNTIFS('Przypadki testowe'!$C$2:$C$300,"*"&amp;A3&amp;"*",'Przypadki testowe'!$K$2:$K$300,"Zaliczony"))</f>
        <v>5</v>
      </c>
      <c r="G3">
        <f>IF(A3="","",COUNTIFS('Przypadki testowe'!$C$2:$C$300,"*"&amp;A3&amp;"*",'Przypadki testowe'!$K$2:$K$300,"Niezaliczony"))</f>
        <v>1</v>
      </c>
      <c r="H3" t="str">
        <f t="shared" si="0"/>
        <v>Pokryte</v>
      </c>
    </row>
    <row r="4" spans="1:9">
      <c r="A4" t="s">
        <v>83</v>
      </c>
      <c r="B4" t="s">
        <v>84</v>
      </c>
      <c r="C4" t="s">
        <v>67</v>
      </c>
      <c r="D4" t="s">
        <v>485</v>
      </c>
      <c r="E4">
        <f>IF(A4="","",COUNTIF('Przypadki testowe'!$C$2:$C$300,"*"&amp;A4&amp;"*"))</f>
        <v>2</v>
      </c>
      <c r="F4">
        <f>IF(A4="","",COUNTIFS('Przypadki testowe'!$C$2:$C$300,"*"&amp;A4&amp;"*",'Przypadki testowe'!$K$2:$K$300,"Zaliczony"))</f>
        <v>2</v>
      </c>
      <c r="G4">
        <f>IF(A4="","",COUNTIFS('Przypadki testowe'!$C$2:$C$300,"*"&amp;A4&amp;"*",'Przypadki testowe'!$K$2:$K$300,"Niezaliczony"))</f>
        <v>0</v>
      </c>
      <c r="H4" t="str">
        <f t="shared" si="0"/>
        <v>Pokryte</v>
      </c>
    </row>
    <row r="5" spans="1:9" ht="30" customHeight="1">
      <c r="A5" t="s">
        <v>85</v>
      </c>
      <c r="B5" t="s">
        <v>86</v>
      </c>
      <c r="C5" t="s">
        <v>67</v>
      </c>
      <c r="D5" s="22" t="s">
        <v>486</v>
      </c>
      <c r="E5">
        <f>IF(A5="","",COUNTIF('Przypadki testowe'!$C$2:$C$300,"*"&amp;A5&amp;"*"))</f>
        <v>4</v>
      </c>
      <c r="F5">
        <f>IF(A5="","",COUNTIFS('Przypadki testowe'!$C$2:$C$300,"*"&amp;A5&amp;"*",'Przypadki testowe'!$K$2:$K$300,"Zaliczony"))</f>
        <v>4</v>
      </c>
      <c r="G5">
        <f>IF(A5="","",COUNTIFS('Przypadki testowe'!$C$2:$C$300,"*"&amp;A5&amp;"*",'Przypadki testowe'!$K$2:$K$300,"Niezaliczony"))</f>
        <v>0</v>
      </c>
      <c r="H5" t="str">
        <f t="shared" si="0"/>
        <v>Pokryte</v>
      </c>
    </row>
    <row r="6" spans="1:9" ht="32.4" customHeight="1">
      <c r="A6" t="s">
        <v>40</v>
      </c>
      <c r="B6" t="s">
        <v>87</v>
      </c>
      <c r="C6" t="s">
        <v>67</v>
      </c>
      <c r="D6" s="22" t="s">
        <v>487</v>
      </c>
      <c r="E6">
        <f>IF(A6="","",COUNTIF('Przypadki testowe'!$C$2:$C$300,"*"&amp;A6&amp;"*"))</f>
        <v>4</v>
      </c>
      <c r="F6">
        <f>IF(A6="","",COUNTIFS('Przypadki testowe'!$C$2:$C$300,"*"&amp;A6&amp;"*",'Przypadki testowe'!$K$2:$K$300,"Zaliczony"))</f>
        <v>3</v>
      </c>
      <c r="G6">
        <f>IF(A6="","",COUNTIFS('Przypadki testowe'!$C$2:$C$300,"*"&amp;A6&amp;"*",'Przypadki testowe'!$K$2:$K$300,"Niezaliczony"))</f>
        <v>1</v>
      </c>
      <c r="H6" t="str">
        <f t="shared" si="0"/>
        <v>Pokryte</v>
      </c>
    </row>
    <row r="7" spans="1:9">
      <c r="A7" t="s">
        <v>88</v>
      </c>
      <c r="B7" t="s">
        <v>89</v>
      </c>
      <c r="C7" t="s">
        <v>51</v>
      </c>
      <c r="D7" s="33" t="s">
        <v>488</v>
      </c>
      <c r="E7">
        <v>2</v>
      </c>
      <c r="F7">
        <f>IF(A7="","",COUNTIFS('Przypadki testowe'!$C$2:$C$300,"*"&amp;A7&amp;"*",'Przypadki testowe'!$K$2:$K$300,"Zaliczony"))</f>
        <v>1</v>
      </c>
      <c r="G7">
        <v>1</v>
      </c>
      <c r="H7" t="str">
        <f t="shared" si="0"/>
        <v>Pokryte</v>
      </c>
    </row>
    <row r="8" spans="1:9">
      <c r="A8" t="s">
        <v>90</v>
      </c>
      <c r="B8" t="s">
        <v>91</v>
      </c>
      <c r="C8" t="s">
        <v>67</v>
      </c>
      <c r="D8" s="33" t="s">
        <v>297</v>
      </c>
      <c r="E8">
        <f>IF(A8="","",COUNTIF('Przypadki testowe'!$C$2:$C$300,"*"&amp;A8&amp;"*"))</f>
        <v>1</v>
      </c>
      <c r="F8">
        <f>IF(A8="","",COUNTIFS('Przypadki testowe'!$C$2:$C$300,"*"&amp;A8&amp;"*",'Przypadki testowe'!$K$2:$K$300,"Zaliczony"))</f>
        <v>1</v>
      </c>
      <c r="G8">
        <f>IF(A8="","",COUNTIFS('Przypadki testowe'!$C$2:$C$300,"*"&amp;A8&amp;"*",'Przypadki testowe'!$K$2:$K$300,"Niezaliczony"))</f>
        <v>0</v>
      </c>
      <c r="H8" t="str">
        <f t="shared" si="0"/>
        <v>Pokryte</v>
      </c>
    </row>
    <row r="9" spans="1:9">
      <c r="A9" t="s">
        <v>92</v>
      </c>
      <c r="B9" t="s">
        <v>93</v>
      </c>
      <c r="C9" t="s">
        <v>67</v>
      </c>
      <c r="D9" s="33" t="s">
        <v>64</v>
      </c>
      <c r="E9">
        <f>IF(A9="","",COUNTIF('Przypadki testowe'!$C$2:$C$300,"*"&amp;A9&amp;"*"))</f>
        <v>1</v>
      </c>
      <c r="F9">
        <f>IF(A9="","",COUNTIFS('Przypadki testowe'!$C$2:$C$300,"*"&amp;A9&amp;"*",'Przypadki testowe'!$K$2:$K$300,"Zaliczony"))</f>
        <v>0</v>
      </c>
      <c r="G9">
        <f>IF(A9="","",COUNTIFS('Przypadki testowe'!$C$2:$C$300,"*"&amp;A9&amp;"*",'Przypadki testowe'!$K$2:$K$300,"Niezaliczony"))</f>
        <v>1</v>
      </c>
      <c r="H9" t="str">
        <f t="shared" si="0"/>
        <v>Pokryte</v>
      </c>
    </row>
    <row r="10" spans="1:9">
      <c r="A10" t="s">
        <v>94</v>
      </c>
      <c r="B10" t="s">
        <v>95</v>
      </c>
      <c r="C10" t="s">
        <v>67</v>
      </c>
      <c r="D10" s="33" t="s">
        <v>489</v>
      </c>
      <c r="E10">
        <f>IF(A10="","",COUNTIF('Przypadki testowe'!$C$2:$C$300,"*"&amp;A10&amp;"*"))</f>
        <v>3</v>
      </c>
      <c r="F10">
        <f>IF(A10="","",COUNTIFS('Przypadki testowe'!$C$2:$C$300,"*"&amp;A10&amp;"*",'Przypadki testowe'!$K$2:$K$300,"Zaliczony"))</f>
        <v>2</v>
      </c>
      <c r="G10">
        <f>IF(A10="","",COUNTIFS('Przypadki testowe'!$C$2:$C$300,"*"&amp;A10&amp;"*",'Przypadki testowe'!$K$2:$K$300,"Niezaliczony"))</f>
        <v>1</v>
      </c>
      <c r="H10" t="str">
        <f t="shared" si="0"/>
        <v>Pokryte</v>
      </c>
    </row>
    <row r="11" spans="1:9" ht="28.8">
      <c r="A11" t="s">
        <v>96</v>
      </c>
      <c r="B11" t="s">
        <v>97</v>
      </c>
      <c r="C11" t="s">
        <v>67</v>
      </c>
      <c r="D11" s="33" t="s">
        <v>490</v>
      </c>
      <c r="E11">
        <f>IF(A11="","",COUNTIF('Przypadki testowe'!$C$2:$C$300,"*"&amp;A11&amp;"*"))</f>
        <v>5</v>
      </c>
      <c r="F11">
        <f>IF(A11="","",COUNTIFS('Przypadki testowe'!$C$2:$C$300,"*"&amp;A11&amp;"*",'Przypadki testowe'!$K$2:$K$300,"Zaliczony"))</f>
        <v>4</v>
      </c>
      <c r="G11">
        <f>IF(A11="","",COUNTIFS('Przypadki testowe'!$C$2:$C$300,"*"&amp;A11&amp;"*",'Przypadki testowe'!$K$2:$K$300,"Niezaliczony"))</f>
        <v>1</v>
      </c>
      <c r="H11" t="str">
        <f t="shared" si="0"/>
        <v>Pokryte</v>
      </c>
    </row>
    <row r="12" spans="1:9">
      <c r="A12" t="s">
        <v>98</v>
      </c>
      <c r="B12" t="s">
        <v>99</v>
      </c>
      <c r="C12" t="s">
        <v>67</v>
      </c>
      <c r="D12" s="33" t="s">
        <v>491</v>
      </c>
      <c r="E12">
        <f>IF(A12="","",COUNTIF('Przypadki testowe'!$C$2:$C$300,"*"&amp;A12&amp;"*"))</f>
        <v>3</v>
      </c>
      <c r="F12">
        <f>IF(A12="","",COUNTIFS('Przypadki testowe'!$C$2:$C$300,"*"&amp;A12&amp;"*",'Przypadki testowe'!$K$2:$K$300,"Zaliczony"))</f>
        <v>2</v>
      </c>
      <c r="G12">
        <f>IF(A12="","",COUNTIFS('Przypadki testowe'!$C$2:$C$300,"*"&amp;A12&amp;"*",'Przypadki testowe'!$K$2:$K$300,"Niezaliczony"))</f>
        <v>1</v>
      </c>
      <c r="H12" t="str">
        <f t="shared" si="0"/>
        <v>Pokryte</v>
      </c>
    </row>
    <row r="13" spans="1:9">
      <c r="A13" t="s">
        <v>100</v>
      </c>
      <c r="B13" t="s">
        <v>101</v>
      </c>
      <c r="C13" t="s">
        <v>67</v>
      </c>
      <c r="D13" s="33" t="s">
        <v>492</v>
      </c>
      <c r="E13">
        <f>IF(A13="","",COUNTIF('Przypadki testowe'!$C$2:$C$300,"*"&amp;A13&amp;"*"))</f>
        <v>3</v>
      </c>
      <c r="F13">
        <f>IF(A13="","",COUNTIFS('Przypadki testowe'!$C$2:$C$300,"*"&amp;A13&amp;"*",'Przypadki testowe'!$K$2:$K$300,"Zaliczony"))</f>
        <v>2</v>
      </c>
      <c r="G13">
        <f>IF(A13="","",COUNTIFS('Przypadki testowe'!$C$2:$C$300,"*"&amp;A13&amp;"*",'Przypadki testowe'!$K$2:$K$300,"Niezaliczony"))</f>
        <v>1</v>
      </c>
      <c r="H13" t="str">
        <f t="shared" si="0"/>
        <v>Pokryte</v>
      </c>
    </row>
    <row r="14" spans="1:9" ht="28.8">
      <c r="A14" t="s">
        <v>102</v>
      </c>
      <c r="B14" t="s">
        <v>103</v>
      </c>
      <c r="C14" t="s">
        <v>67</v>
      </c>
      <c r="D14" s="33" t="s">
        <v>493</v>
      </c>
      <c r="E14">
        <f>IF(A14="","",COUNTIF('Przypadki testowe'!$C$2:$C$300,"*"&amp;A14&amp;"*"))</f>
        <v>4</v>
      </c>
      <c r="F14">
        <f>IF(A14="","",COUNTIFS('Przypadki testowe'!$C$2:$C$300,"*"&amp;A14&amp;"*",'Przypadki testowe'!$K$2:$K$300,"Zaliczony"))</f>
        <v>3</v>
      </c>
      <c r="G14">
        <f>IF(A14="","",COUNTIFS('Przypadki testowe'!$C$2:$C$300,"*"&amp;A14&amp;"*",'Przypadki testowe'!$K$2:$K$300,"Niezaliczony"))</f>
        <v>1</v>
      </c>
      <c r="H14" t="str">
        <f t="shared" si="0"/>
        <v>Pokryte</v>
      </c>
    </row>
    <row r="15" spans="1:9">
      <c r="A15" t="s">
        <v>104</v>
      </c>
      <c r="B15" t="s">
        <v>105</v>
      </c>
      <c r="C15" t="s">
        <v>67</v>
      </c>
      <c r="D15" s="33" t="s">
        <v>494</v>
      </c>
      <c r="E15">
        <f>IF(A15="","",COUNTIF('Przypadki testowe'!$C$2:$C$300,"*"&amp;A15&amp;"*"))</f>
        <v>2</v>
      </c>
      <c r="F15">
        <f>IF(A15="","",COUNTIFS('Przypadki testowe'!$C$2:$C$300,"*"&amp;A15&amp;"*",'Przypadki testowe'!$K$2:$K$300,"Zaliczony"))</f>
        <v>1</v>
      </c>
      <c r="G15">
        <f>IF(A15="","",COUNTIFS('Przypadki testowe'!$C$2:$C$300,"*"&amp;A15&amp;"*",'Przypadki testowe'!$K$2:$K$300,"Niezaliczony"))</f>
        <v>1</v>
      </c>
      <c r="H15" t="str">
        <f t="shared" si="0"/>
        <v>Pokryte</v>
      </c>
    </row>
    <row r="16" spans="1:9">
      <c r="A16" t="s">
        <v>106</v>
      </c>
      <c r="B16" t="s">
        <v>107</v>
      </c>
      <c r="C16" t="s">
        <v>51</v>
      </c>
      <c r="D16" s="33" t="s">
        <v>64</v>
      </c>
      <c r="E16">
        <v>1</v>
      </c>
      <c r="F16">
        <f>IF(A16="","",COUNTIFS('Przypadki testowe'!$C$2:$C$300,"*"&amp;A16&amp;"*",'Przypadki testowe'!$K$2:$K$300,"Zaliczony"))</f>
        <v>0</v>
      </c>
      <c r="G16">
        <v>1</v>
      </c>
      <c r="H16" t="str">
        <f t="shared" si="0"/>
        <v>Pokryte</v>
      </c>
    </row>
    <row r="17" spans="5:8">
      <c r="E17" t="str">
        <f>IF(A17="","",COUNTIF('Przypadki testowe'!$C$2:$C$300,"*"&amp;A17&amp;"*"))</f>
        <v/>
      </c>
      <c r="F17" t="str">
        <f>IF(A17="","",COUNTIFS('Przypadki testowe'!$C$2:$C$300,"*"&amp;A17&amp;"*",'Przypadki testowe'!$K$2:$K$300,"Zaliczony"))</f>
        <v/>
      </c>
      <c r="G17" t="str">
        <f>IF(A17="","",COUNTIFS('Przypadki testowe'!$C$2:$C$300,"*"&amp;A17&amp;"*",'Przypadki testowe'!$K$2:$K$300,"Niezaliczony"))</f>
        <v/>
      </c>
      <c r="H17" t="str">
        <f t="shared" si="0"/>
        <v/>
      </c>
    </row>
    <row r="18" spans="5:8">
      <c r="E18" t="str">
        <f>IF(A18="","",COUNTIF('Przypadki testowe'!$C$2:$C$300,"*"&amp;A18&amp;"*"))</f>
        <v/>
      </c>
      <c r="F18" t="str">
        <f>IF(A18="","",COUNTIFS('Przypadki testowe'!$C$2:$C$300,"*"&amp;A18&amp;"*",'Przypadki testowe'!$K$2:$K$300,"Zaliczony"))</f>
        <v/>
      </c>
      <c r="G18" t="str">
        <f>IF(A18="","",COUNTIFS('Przypadki testowe'!$C$2:$C$300,"*"&amp;A18&amp;"*",'Przypadki testowe'!$K$2:$K$300,"Niezaliczony"))</f>
        <v/>
      </c>
      <c r="H18" t="str">
        <f t="shared" si="0"/>
        <v/>
      </c>
    </row>
    <row r="19" spans="5:8">
      <c r="E19" t="str">
        <f>IF(A19="","",COUNTIF('Przypadki testowe'!$C$2:$C$300,"*"&amp;A19&amp;"*"))</f>
        <v/>
      </c>
      <c r="F19" t="str">
        <f>IF(A19="","",COUNTIFS('Przypadki testowe'!$C$2:$C$300,"*"&amp;A19&amp;"*",'Przypadki testowe'!$K$2:$K$300,"Zaliczony"))</f>
        <v/>
      </c>
      <c r="G19" t="str">
        <f>IF(A19="","",COUNTIFS('Przypadki testowe'!$C$2:$C$300,"*"&amp;A19&amp;"*",'Przypadki testowe'!$K$2:$K$300,"Niezaliczony"))</f>
        <v/>
      </c>
      <c r="H19" t="str">
        <f t="shared" si="0"/>
        <v/>
      </c>
    </row>
    <row r="20" spans="5:8">
      <c r="E20" t="str">
        <f>IF(A20="","",COUNTIF('Przypadki testowe'!$C$2:$C$300,"*"&amp;A20&amp;"*"))</f>
        <v/>
      </c>
      <c r="F20" t="str">
        <f>IF(A20="","",COUNTIFS('Przypadki testowe'!$C$2:$C$300,"*"&amp;A20&amp;"*",'Przypadki testowe'!$K$2:$K$300,"Zaliczony"))</f>
        <v/>
      </c>
      <c r="G20" t="str">
        <f>IF(A20="","",COUNTIFS('Przypadki testowe'!$C$2:$C$300,"*"&amp;A20&amp;"*",'Przypadki testowe'!$K$2:$K$300,"Niezaliczony"))</f>
        <v/>
      </c>
      <c r="H20" t="str">
        <f t="shared" si="0"/>
        <v/>
      </c>
    </row>
    <row r="21" spans="5:8">
      <c r="E21" t="str">
        <f>IF(A21="","",COUNTIF('Przypadki testowe'!$C$2:$C$300,"*"&amp;A21&amp;"*"))</f>
        <v/>
      </c>
      <c r="F21" t="str">
        <f>IF(A21="","",COUNTIFS('Przypadki testowe'!$C$2:$C$300,"*"&amp;A21&amp;"*",'Przypadki testowe'!$K$2:$K$300,"Zaliczony"))</f>
        <v/>
      </c>
      <c r="G21" t="str">
        <f>IF(A21="","",COUNTIFS('Przypadki testowe'!$C$2:$C$300,"*"&amp;A21&amp;"*",'Przypadki testowe'!$K$2:$K$300,"Niezaliczony"))</f>
        <v/>
      </c>
      <c r="H21" t="str">
        <f t="shared" si="0"/>
        <v/>
      </c>
    </row>
    <row r="22" spans="5:8">
      <c r="E22" t="str">
        <f>IF(A22="","",COUNTIF('Przypadki testowe'!$C$2:$C$300,"*"&amp;A22&amp;"*"))</f>
        <v/>
      </c>
      <c r="F22" t="str">
        <f>IF(A22="","",COUNTIFS('Przypadki testowe'!$C$2:$C$300,"*"&amp;A22&amp;"*",'Przypadki testowe'!$K$2:$K$300,"Zaliczony"))</f>
        <v/>
      </c>
      <c r="G22" t="str">
        <f>IF(A22="","",COUNTIFS('Przypadki testowe'!$C$2:$C$300,"*"&amp;A22&amp;"*",'Przypadki testowe'!$K$2:$K$300,"Niezaliczony"))</f>
        <v/>
      </c>
      <c r="H22" t="str">
        <f t="shared" si="0"/>
        <v/>
      </c>
    </row>
    <row r="23" spans="5:8">
      <c r="E23" t="str">
        <f>IF(A23="","",COUNTIF('Przypadki testowe'!$C$2:$C$300,"*"&amp;A23&amp;"*"))</f>
        <v/>
      </c>
      <c r="F23" t="str">
        <f>IF(A23="","",COUNTIFS('Przypadki testowe'!$C$2:$C$300,"*"&amp;A23&amp;"*",'Przypadki testowe'!$K$2:$K$300,"Zaliczony"))</f>
        <v/>
      </c>
      <c r="G23" t="str">
        <f>IF(A23="","",COUNTIFS('Przypadki testowe'!$C$2:$C$300,"*"&amp;A23&amp;"*",'Przypadki testowe'!$K$2:$K$300,"Niezaliczony"))</f>
        <v/>
      </c>
      <c r="H23" t="str">
        <f t="shared" si="0"/>
        <v/>
      </c>
    </row>
    <row r="24" spans="5:8">
      <c r="E24" t="str">
        <f>IF(A24="","",COUNTIF('Przypadki testowe'!$C$2:$C$300,"*"&amp;A24&amp;"*"))</f>
        <v/>
      </c>
      <c r="F24" t="str">
        <f>IF(A24="","",COUNTIFS('Przypadki testowe'!$C$2:$C$300,"*"&amp;A24&amp;"*",'Przypadki testowe'!$K$2:$K$300,"Zaliczony"))</f>
        <v/>
      </c>
      <c r="G24" t="str">
        <f>IF(A24="","",COUNTIFS('Przypadki testowe'!$C$2:$C$300,"*"&amp;A24&amp;"*",'Przypadki testowe'!$K$2:$K$300,"Niezaliczony"))</f>
        <v/>
      </c>
      <c r="H24" t="str">
        <f t="shared" si="0"/>
        <v/>
      </c>
    </row>
    <row r="25" spans="5:8">
      <c r="E25" t="str">
        <f>IF(A25="","",COUNTIF('Przypadki testowe'!$C$2:$C$300,"*"&amp;A25&amp;"*"))</f>
        <v/>
      </c>
      <c r="F25" t="str">
        <f>IF(A25="","",COUNTIFS('Przypadki testowe'!$C$2:$C$300,"*"&amp;A25&amp;"*",'Przypadki testowe'!$K$2:$K$300,"Zaliczony"))</f>
        <v/>
      </c>
      <c r="G25" t="str">
        <f>IF(A25="","",COUNTIFS('Przypadki testowe'!$C$2:$C$300,"*"&amp;A25&amp;"*",'Przypadki testowe'!$K$2:$K$300,"Niezaliczony"))</f>
        <v/>
      </c>
      <c r="H25" t="str">
        <f t="shared" si="0"/>
        <v/>
      </c>
    </row>
    <row r="26" spans="5:8">
      <c r="E26" t="str">
        <f>IF(A26="","",COUNTIF('Przypadki testowe'!$C$2:$C$300,"*"&amp;A26&amp;"*"))</f>
        <v/>
      </c>
      <c r="F26" t="str">
        <f>IF(A26="","",COUNTIFS('Przypadki testowe'!$C$2:$C$300,"*"&amp;A26&amp;"*",'Przypadki testowe'!$K$2:$K$300,"Zaliczony"))</f>
        <v/>
      </c>
      <c r="G26" t="str">
        <f>IF(A26="","",COUNTIFS('Przypadki testowe'!$C$2:$C$300,"*"&amp;A26&amp;"*",'Przypadki testowe'!$K$2:$K$300,"Niezaliczony"))</f>
        <v/>
      </c>
      <c r="H26" t="str">
        <f t="shared" si="0"/>
        <v/>
      </c>
    </row>
    <row r="27" spans="5:8">
      <c r="E27" t="str">
        <f>IF(A27="","",COUNTIF('Przypadki testowe'!$C$2:$C$300,"*"&amp;A27&amp;"*"))</f>
        <v/>
      </c>
      <c r="F27" t="str">
        <f>IF(A27="","",COUNTIFS('Przypadki testowe'!$C$2:$C$300,"*"&amp;A27&amp;"*",'Przypadki testowe'!$K$2:$K$300,"Zaliczony"))</f>
        <v/>
      </c>
      <c r="G27" t="str">
        <f>IF(A27="","",COUNTIFS('Przypadki testowe'!$C$2:$C$300,"*"&amp;A27&amp;"*",'Przypadki testowe'!$K$2:$K$300,"Niezaliczony"))</f>
        <v/>
      </c>
      <c r="H27" t="str">
        <f t="shared" si="0"/>
        <v/>
      </c>
    </row>
    <row r="28" spans="5:8">
      <c r="E28" t="str">
        <f>IF(A28="","",COUNTIF('Przypadki testowe'!$C$2:$C$300,"*"&amp;A28&amp;"*"))</f>
        <v/>
      </c>
      <c r="F28" t="str">
        <f>IF(A28="","",COUNTIFS('Przypadki testowe'!$C$2:$C$300,"*"&amp;A28&amp;"*",'Przypadki testowe'!$K$2:$K$300,"Zaliczony"))</f>
        <v/>
      </c>
      <c r="G28" t="str">
        <f>IF(A28="","",COUNTIFS('Przypadki testowe'!$C$2:$C$300,"*"&amp;A28&amp;"*",'Przypadki testowe'!$K$2:$K$300,"Niezaliczony"))</f>
        <v/>
      </c>
      <c r="H28" t="str">
        <f t="shared" si="0"/>
        <v/>
      </c>
    </row>
    <row r="29" spans="5:8">
      <c r="E29" t="str">
        <f>IF(A29="","",COUNTIF('Przypadki testowe'!$C$2:$C$300,"*"&amp;A29&amp;"*"))</f>
        <v/>
      </c>
      <c r="F29" t="str">
        <f>IF(A29="","",COUNTIFS('Przypadki testowe'!$C$2:$C$300,"*"&amp;A29&amp;"*",'Przypadki testowe'!$K$2:$K$300,"Zaliczony"))</f>
        <v/>
      </c>
      <c r="G29" t="str">
        <f>IF(A29="","",COUNTIFS('Przypadki testowe'!$C$2:$C$300,"*"&amp;A29&amp;"*",'Przypadki testowe'!$K$2:$K$300,"Niezaliczony"))</f>
        <v/>
      </c>
      <c r="H29" t="str">
        <f t="shared" si="0"/>
        <v/>
      </c>
    </row>
    <row r="30" spans="5:8">
      <c r="E30" t="str">
        <f>IF(A30="","",COUNTIF('Przypadki testowe'!$C$2:$C$300,"*"&amp;A30&amp;"*"))</f>
        <v/>
      </c>
      <c r="F30" t="str">
        <f>IF(A30="","",COUNTIFS('Przypadki testowe'!$C$2:$C$300,"*"&amp;A30&amp;"*",'Przypadki testowe'!$K$2:$K$300,"Zaliczony"))</f>
        <v/>
      </c>
      <c r="G30" t="str">
        <f>IF(A30="","",COUNTIFS('Przypadki testowe'!$C$2:$C$300,"*"&amp;A30&amp;"*",'Przypadki testowe'!$K$2:$K$300,"Niezaliczony"))</f>
        <v/>
      </c>
      <c r="H30" t="str">
        <f t="shared" si="0"/>
        <v/>
      </c>
    </row>
    <row r="31" spans="5:8">
      <c r="E31" t="str">
        <f>IF(A31="","",COUNTIF('Przypadki testowe'!$C$2:$C$300,"*"&amp;A31&amp;"*"))</f>
        <v/>
      </c>
      <c r="F31" t="str">
        <f>IF(A31="","",COUNTIFS('Przypadki testowe'!$C$2:$C$300,"*"&amp;A31&amp;"*",'Przypadki testowe'!$K$2:$K$300,"Zaliczony"))</f>
        <v/>
      </c>
      <c r="G31" t="str">
        <f>IF(A31="","",COUNTIFS('Przypadki testowe'!$C$2:$C$300,"*"&amp;A31&amp;"*",'Przypadki testowe'!$K$2:$K$300,"Niezaliczony"))</f>
        <v/>
      </c>
      <c r="H31" t="str">
        <f t="shared" si="0"/>
        <v/>
      </c>
    </row>
    <row r="32" spans="5:8">
      <c r="E32" t="str">
        <f>IF(A32="","",COUNTIF('Przypadki testowe'!$C$2:$C$300,"*"&amp;A32&amp;"*"))</f>
        <v/>
      </c>
      <c r="F32" t="str">
        <f>IF(A32="","",COUNTIFS('Przypadki testowe'!$C$2:$C$300,"*"&amp;A32&amp;"*",'Przypadki testowe'!$K$2:$K$300,"Zaliczony"))</f>
        <v/>
      </c>
      <c r="G32" t="str">
        <f>IF(A32="","",COUNTIFS('Przypadki testowe'!$C$2:$C$300,"*"&amp;A32&amp;"*",'Przypadki testowe'!$K$2:$K$300,"Niezaliczony"))</f>
        <v/>
      </c>
      <c r="H32" t="str">
        <f t="shared" si="0"/>
        <v/>
      </c>
    </row>
    <row r="33" spans="5:8">
      <c r="E33" t="str">
        <f>IF(A33="","",COUNTIF('Przypadki testowe'!$C$2:$C$300,"*"&amp;A33&amp;"*"))</f>
        <v/>
      </c>
      <c r="F33" t="str">
        <f>IF(A33="","",COUNTIFS('Przypadki testowe'!$C$2:$C$300,"*"&amp;A33&amp;"*",'Przypadki testowe'!$K$2:$K$300,"Zaliczony"))</f>
        <v/>
      </c>
      <c r="G33" t="str">
        <f>IF(A33="","",COUNTIFS('Przypadki testowe'!$C$2:$C$300,"*"&amp;A33&amp;"*",'Przypadki testowe'!$K$2:$K$300,"Niezaliczony"))</f>
        <v/>
      </c>
      <c r="H33" t="str">
        <f t="shared" si="0"/>
        <v/>
      </c>
    </row>
    <row r="34" spans="5:8">
      <c r="E34" t="str">
        <f>IF(A34="","",COUNTIF('Przypadki testowe'!$C$2:$C$300,"*"&amp;A34&amp;"*"))</f>
        <v/>
      </c>
      <c r="F34" t="str">
        <f>IF(A34="","",COUNTIFS('Przypadki testowe'!$C$2:$C$300,"*"&amp;A34&amp;"*",'Przypadki testowe'!$K$2:$K$300,"Zaliczony"))</f>
        <v/>
      </c>
      <c r="G34" t="str">
        <f>IF(A34="","",COUNTIFS('Przypadki testowe'!$C$2:$C$300,"*"&amp;A34&amp;"*",'Przypadki testowe'!$K$2:$K$300,"Niezaliczony"))</f>
        <v/>
      </c>
      <c r="H34" t="str">
        <f t="shared" ref="H34:H65" si="1">IF(A34="","",IF(E34&gt;0,"Pokryte","BRAK"))</f>
        <v/>
      </c>
    </row>
    <row r="35" spans="5:8">
      <c r="E35" t="str">
        <f>IF(A35="","",COUNTIF('Przypadki testowe'!$C$2:$C$300,"*"&amp;A35&amp;"*"))</f>
        <v/>
      </c>
      <c r="F35" t="str">
        <f>IF(A35="","",COUNTIFS('Przypadki testowe'!$C$2:$C$300,"*"&amp;A35&amp;"*",'Przypadki testowe'!$K$2:$K$300,"Zaliczony"))</f>
        <v/>
      </c>
      <c r="G35" t="str">
        <f>IF(A35="","",COUNTIFS('Przypadki testowe'!$C$2:$C$300,"*"&amp;A35&amp;"*",'Przypadki testowe'!$K$2:$K$300,"Niezaliczony"))</f>
        <v/>
      </c>
      <c r="H35" t="str">
        <f t="shared" si="1"/>
        <v/>
      </c>
    </row>
    <row r="36" spans="5:8">
      <c r="E36" t="str">
        <f>IF(A36="","",COUNTIF('Przypadki testowe'!$C$2:$C$300,"*"&amp;A36&amp;"*"))</f>
        <v/>
      </c>
      <c r="F36" t="str">
        <f>IF(A36="","",COUNTIFS('Przypadki testowe'!$C$2:$C$300,"*"&amp;A36&amp;"*",'Przypadki testowe'!$K$2:$K$300,"Zaliczony"))</f>
        <v/>
      </c>
      <c r="G36" t="str">
        <f>IF(A36="","",COUNTIFS('Przypadki testowe'!$C$2:$C$300,"*"&amp;A36&amp;"*",'Przypadki testowe'!$K$2:$K$300,"Niezaliczony"))</f>
        <v/>
      </c>
      <c r="H36" t="str">
        <f t="shared" si="1"/>
        <v/>
      </c>
    </row>
    <row r="37" spans="5:8">
      <c r="E37" t="str">
        <f>IF(A37="","",COUNTIF('Przypadki testowe'!$C$2:$C$300,"*"&amp;A37&amp;"*"))</f>
        <v/>
      </c>
      <c r="F37" t="str">
        <f>IF(A37="","",COUNTIFS('Przypadki testowe'!$C$2:$C$300,"*"&amp;A37&amp;"*",'Przypadki testowe'!$K$2:$K$300,"Zaliczony"))</f>
        <v/>
      </c>
      <c r="G37" t="str">
        <f>IF(A37="","",COUNTIFS('Przypadki testowe'!$C$2:$C$300,"*"&amp;A37&amp;"*",'Przypadki testowe'!$K$2:$K$300,"Niezaliczony"))</f>
        <v/>
      </c>
      <c r="H37" t="str">
        <f t="shared" si="1"/>
        <v/>
      </c>
    </row>
    <row r="38" spans="5:8">
      <c r="E38" t="str">
        <f>IF(A38="","",COUNTIF('Przypadki testowe'!$C$2:$C$300,"*"&amp;A38&amp;"*"))</f>
        <v/>
      </c>
      <c r="F38" t="str">
        <f>IF(A38="","",COUNTIFS('Przypadki testowe'!$C$2:$C$300,"*"&amp;A38&amp;"*",'Przypadki testowe'!$K$2:$K$300,"Zaliczony"))</f>
        <v/>
      </c>
      <c r="G38" t="str">
        <f>IF(A38="","",COUNTIFS('Przypadki testowe'!$C$2:$C$300,"*"&amp;A38&amp;"*",'Przypadki testowe'!$K$2:$K$300,"Niezaliczony"))</f>
        <v/>
      </c>
      <c r="H38" t="str">
        <f t="shared" si="1"/>
        <v/>
      </c>
    </row>
    <row r="39" spans="5:8">
      <c r="E39" t="str">
        <f>IF(A39="","",COUNTIF('Przypadki testowe'!$C$2:$C$300,"*"&amp;A39&amp;"*"))</f>
        <v/>
      </c>
      <c r="F39" t="str">
        <f>IF(A39="","",COUNTIFS('Przypadki testowe'!$C$2:$C$300,"*"&amp;A39&amp;"*",'Przypadki testowe'!$K$2:$K$300,"Zaliczony"))</f>
        <v/>
      </c>
      <c r="G39" t="str">
        <f>IF(A39="","",COUNTIFS('Przypadki testowe'!$C$2:$C$300,"*"&amp;A39&amp;"*",'Przypadki testowe'!$K$2:$K$300,"Niezaliczony"))</f>
        <v/>
      </c>
      <c r="H39" t="str">
        <f t="shared" si="1"/>
        <v/>
      </c>
    </row>
    <row r="40" spans="5:8">
      <c r="E40" t="str">
        <f>IF(A40="","",COUNTIF('Przypadki testowe'!$C$2:$C$300,"*"&amp;A40&amp;"*"))</f>
        <v/>
      </c>
      <c r="F40" t="str">
        <f>IF(A40="","",COUNTIFS('Przypadki testowe'!$C$2:$C$300,"*"&amp;A40&amp;"*",'Przypadki testowe'!$K$2:$K$300,"Zaliczony"))</f>
        <v/>
      </c>
      <c r="G40" t="str">
        <f>IF(A40="","",COUNTIFS('Przypadki testowe'!$C$2:$C$300,"*"&amp;A40&amp;"*",'Przypadki testowe'!$K$2:$K$300,"Niezaliczony"))</f>
        <v/>
      </c>
      <c r="H40" t="str">
        <f t="shared" si="1"/>
        <v/>
      </c>
    </row>
    <row r="41" spans="5:8">
      <c r="E41" t="str">
        <f>IF(A41="","",COUNTIF('Przypadki testowe'!$C$2:$C$300,"*"&amp;A41&amp;"*"))</f>
        <v/>
      </c>
      <c r="F41" t="str">
        <f>IF(A41="","",COUNTIFS('Przypadki testowe'!$C$2:$C$300,"*"&amp;A41&amp;"*",'Przypadki testowe'!$K$2:$K$300,"Zaliczony"))</f>
        <v/>
      </c>
      <c r="G41" t="str">
        <f>IF(A41="","",COUNTIFS('Przypadki testowe'!$C$2:$C$300,"*"&amp;A41&amp;"*",'Przypadki testowe'!$K$2:$K$300,"Niezaliczony"))</f>
        <v/>
      </c>
      <c r="H41" t="str">
        <f t="shared" si="1"/>
        <v/>
      </c>
    </row>
    <row r="42" spans="5:8">
      <c r="E42" t="str">
        <f>IF(A42="","",COUNTIF('Przypadki testowe'!$C$2:$C$300,"*"&amp;A42&amp;"*"))</f>
        <v/>
      </c>
      <c r="F42" t="str">
        <f>IF(A42="","",COUNTIFS('Przypadki testowe'!$C$2:$C$300,"*"&amp;A42&amp;"*",'Przypadki testowe'!$K$2:$K$300,"Zaliczony"))</f>
        <v/>
      </c>
      <c r="G42" t="str">
        <f>IF(A42="","",COUNTIFS('Przypadki testowe'!$C$2:$C$300,"*"&amp;A42&amp;"*",'Przypadki testowe'!$K$2:$K$300,"Niezaliczony"))</f>
        <v/>
      </c>
      <c r="H42" t="str">
        <f t="shared" si="1"/>
        <v/>
      </c>
    </row>
    <row r="43" spans="5:8">
      <c r="E43" t="str">
        <f>IF(A43="","",COUNTIF('Przypadki testowe'!$C$2:$C$300,"*"&amp;A43&amp;"*"))</f>
        <v/>
      </c>
      <c r="F43" t="str">
        <f>IF(A43="","",COUNTIFS('Przypadki testowe'!$C$2:$C$300,"*"&amp;A43&amp;"*",'Przypadki testowe'!$K$2:$K$300,"Zaliczony"))</f>
        <v/>
      </c>
      <c r="G43" t="str">
        <f>IF(A43="","",COUNTIFS('Przypadki testowe'!$C$2:$C$300,"*"&amp;A43&amp;"*",'Przypadki testowe'!$K$2:$K$300,"Niezaliczony"))</f>
        <v/>
      </c>
      <c r="H43" t="str">
        <f t="shared" si="1"/>
        <v/>
      </c>
    </row>
    <row r="44" spans="5:8">
      <c r="E44" t="str">
        <f>IF(A44="","",COUNTIF('Przypadki testowe'!$C$2:$C$300,"*"&amp;A44&amp;"*"))</f>
        <v/>
      </c>
      <c r="F44" t="str">
        <f>IF(A44="","",COUNTIFS('Przypadki testowe'!$C$2:$C$300,"*"&amp;A44&amp;"*",'Przypadki testowe'!$K$2:$K$300,"Zaliczony"))</f>
        <v/>
      </c>
      <c r="G44" t="str">
        <f>IF(A44="","",COUNTIFS('Przypadki testowe'!$C$2:$C$300,"*"&amp;A44&amp;"*",'Przypadki testowe'!$K$2:$K$300,"Niezaliczony"))</f>
        <v/>
      </c>
      <c r="H44" t="str">
        <f t="shared" si="1"/>
        <v/>
      </c>
    </row>
    <row r="45" spans="5:8">
      <c r="E45" t="str">
        <f>IF(A45="","",COUNTIF('Przypadki testowe'!$C$2:$C$300,"*"&amp;A45&amp;"*"))</f>
        <v/>
      </c>
      <c r="F45" t="str">
        <f>IF(A45="","",COUNTIFS('Przypadki testowe'!$C$2:$C$300,"*"&amp;A45&amp;"*",'Przypadki testowe'!$K$2:$K$300,"Zaliczony"))</f>
        <v/>
      </c>
      <c r="G45" t="str">
        <f>IF(A45="","",COUNTIFS('Przypadki testowe'!$C$2:$C$300,"*"&amp;A45&amp;"*",'Przypadki testowe'!$K$2:$K$300,"Niezaliczony"))</f>
        <v/>
      </c>
      <c r="H45" t="str">
        <f t="shared" si="1"/>
        <v/>
      </c>
    </row>
    <row r="46" spans="5:8">
      <c r="E46" t="str">
        <f>IF(A46="","",COUNTIF('Przypadki testowe'!$C$2:$C$300,"*"&amp;A46&amp;"*"))</f>
        <v/>
      </c>
      <c r="F46" t="str">
        <f>IF(A46="","",COUNTIFS('Przypadki testowe'!$C$2:$C$300,"*"&amp;A46&amp;"*",'Przypadki testowe'!$K$2:$K$300,"Zaliczony"))</f>
        <v/>
      </c>
      <c r="G46" t="str">
        <f>IF(A46="","",COUNTIFS('Przypadki testowe'!$C$2:$C$300,"*"&amp;A46&amp;"*",'Przypadki testowe'!$K$2:$K$300,"Niezaliczony"))</f>
        <v/>
      </c>
      <c r="H46" t="str">
        <f t="shared" si="1"/>
        <v/>
      </c>
    </row>
    <row r="47" spans="5:8">
      <c r="E47" t="str">
        <f>IF(A47="","",COUNTIF('Przypadki testowe'!$C$2:$C$300,"*"&amp;A47&amp;"*"))</f>
        <v/>
      </c>
      <c r="F47" t="str">
        <f>IF(A47="","",COUNTIFS('Przypadki testowe'!$C$2:$C$300,"*"&amp;A47&amp;"*",'Przypadki testowe'!$K$2:$K$300,"Zaliczony"))</f>
        <v/>
      </c>
      <c r="G47" t="str">
        <f>IF(A47="","",COUNTIFS('Przypadki testowe'!$C$2:$C$300,"*"&amp;A47&amp;"*",'Przypadki testowe'!$K$2:$K$300,"Niezaliczony"))</f>
        <v/>
      </c>
      <c r="H47" t="str">
        <f t="shared" si="1"/>
        <v/>
      </c>
    </row>
    <row r="48" spans="5:8">
      <c r="E48" t="str">
        <f>IF(A48="","",COUNTIF('Przypadki testowe'!$C$2:$C$300,"*"&amp;A48&amp;"*"))</f>
        <v/>
      </c>
      <c r="F48" t="str">
        <f>IF(A48="","",COUNTIFS('Przypadki testowe'!$C$2:$C$300,"*"&amp;A48&amp;"*",'Przypadki testowe'!$K$2:$K$300,"Zaliczony"))</f>
        <v/>
      </c>
      <c r="G48" t="str">
        <f>IF(A48="","",COUNTIFS('Przypadki testowe'!$C$2:$C$300,"*"&amp;A48&amp;"*",'Przypadki testowe'!$K$2:$K$300,"Niezaliczony"))</f>
        <v/>
      </c>
      <c r="H48" t="str">
        <f t="shared" si="1"/>
        <v/>
      </c>
    </row>
    <row r="49" spans="5:8">
      <c r="E49" t="str">
        <f>IF(A49="","",COUNTIF('Przypadki testowe'!$C$2:$C$300,"*"&amp;A49&amp;"*"))</f>
        <v/>
      </c>
      <c r="F49" t="str">
        <f>IF(A49="","",COUNTIFS('Przypadki testowe'!$C$2:$C$300,"*"&amp;A49&amp;"*",'Przypadki testowe'!$K$2:$K$300,"Zaliczony"))</f>
        <v/>
      </c>
      <c r="G49" t="str">
        <f>IF(A49="","",COUNTIFS('Przypadki testowe'!$C$2:$C$300,"*"&amp;A49&amp;"*",'Przypadki testowe'!$K$2:$K$300,"Niezaliczony"))</f>
        <v/>
      </c>
      <c r="H49" t="str">
        <f t="shared" si="1"/>
        <v/>
      </c>
    </row>
    <row r="50" spans="5:8">
      <c r="E50" t="str">
        <f>IF(A50="","",COUNTIF('Przypadki testowe'!$C$2:$C$300,"*"&amp;A50&amp;"*"))</f>
        <v/>
      </c>
      <c r="F50" t="str">
        <f>IF(A50="","",COUNTIFS('Przypadki testowe'!$C$2:$C$300,"*"&amp;A50&amp;"*",'Przypadki testowe'!$K$2:$K$300,"Zaliczony"))</f>
        <v/>
      </c>
      <c r="G50" t="str">
        <f>IF(A50="","",COUNTIFS('Przypadki testowe'!$C$2:$C$300,"*"&amp;A50&amp;"*",'Przypadki testowe'!$K$2:$K$300,"Niezaliczony"))</f>
        <v/>
      </c>
      <c r="H50" t="str">
        <f t="shared" si="1"/>
        <v/>
      </c>
    </row>
    <row r="51" spans="5:8">
      <c r="E51" t="str">
        <f>IF(A51="","",COUNTIF('Przypadki testowe'!$C$2:$C$300,"*"&amp;A51&amp;"*"))</f>
        <v/>
      </c>
      <c r="F51" t="str">
        <f>IF(A51="","",COUNTIFS('Przypadki testowe'!$C$2:$C$300,"*"&amp;A51&amp;"*",'Przypadki testowe'!$K$2:$K$300,"Zaliczony"))</f>
        <v/>
      </c>
      <c r="G51" t="str">
        <f>IF(A51="","",COUNTIFS('Przypadki testowe'!$C$2:$C$300,"*"&amp;A51&amp;"*",'Przypadki testowe'!$K$2:$K$300,"Niezaliczony"))</f>
        <v/>
      </c>
      <c r="H51" t="str">
        <f t="shared" si="1"/>
        <v/>
      </c>
    </row>
    <row r="52" spans="5:8">
      <c r="E52" t="str">
        <f>IF(A52="","",COUNTIF('Przypadki testowe'!$C$2:$C$300,"*"&amp;A52&amp;"*"))</f>
        <v/>
      </c>
      <c r="F52" t="str">
        <f>IF(A52="","",COUNTIFS('Przypadki testowe'!$C$2:$C$300,"*"&amp;A52&amp;"*",'Przypadki testowe'!$K$2:$K$300,"Zaliczony"))</f>
        <v/>
      </c>
      <c r="G52" t="str">
        <f>IF(A52="","",COUNTIFS('Przypadki testowe'!$C$2:$C$300,"*"&amp;A52&amp;"*",'Przypadki testowe'!$K$2:$K$300,"Niezaliczony"))</f>
        <v/>
      </c>
      <c r="H52" t="str">
        <f t="shared" si="1"/>
        <v/>
      </c>
    </row>
    <row r="53" spans="5:8">
      <c r="E53" t="str">
        <f>IF(A53="","",COUNTIF('Przypadki testowe'!$C$2:$C$300,"*"&amp;A53&amp;"*"))</f>
        <v/>
      </c>
      <c r="F53" t="str">
        <f>IF(A53="","",COUNTIFS('Przypadki testowe'!$C$2:$C$300,"*"&amp;A53&amp;"*",'Przypadki testowe'!$K$2:$K$300,"Zaliczony"))</f>
        <v/>
      </c>
      <c r="G53" t="str">
        <f>IF(A53="","",COUNTIFS('Przypadki testowe'!$C$2:$C$300,"*"&amp;A53&amp;"*",'Przypadki testowe'!$K$2:$K$300,"Niezaliczony"))</f>
        <v/>
      </c>
      <c r="H53" t="str">
        <f t="shared" si="1"/>
        <v/>
      </c>
    </row>
    <row r="54" spans="5:8">
      <c r="E54" t="str">
        <f>IF(A54="","",COUNTIF('Przypadki testowe'!$C$2:$C$300,"*"&amp;A54&amp;"*"))</f>
        <v/>
      </c>
      <c r="F54" t="str">
        <f>IF(A54="","",COUNTIFS('Przypadki testowe'!$C$2:$C$300,"*"&amp;A54&amp;"*",'Przypadki testowe'!$K$2:$K$300,"Zaliczony"))</f>
        <v/>
      </c>
      <c r="G54" t="str">
        <f>IF(A54="","",COUNTIFS('Przypadki testowe'!$C$2:$C$300,"*"&amp;A54&amp;"*",'Przypadki testowe'!$K$2:$K$300,"Niezaliczony"))</f>
        <v/>
      </c>
      <c r="H54" t="str">
        <f t="shared" si="1"/>
        <v/>
      </c>
    </row>
    <row r="55" spans="5:8">
      <c r="E55" t="str">
        <f>IF(A55="","",COUNTIF('Przypadki testowe'!$C$2:$C$300,"*"&amp;A55&amp;"*"))</f>
        <v/>
      </c>
      <c r="F55" t="str">
        <f>IF(A55="","",COUNTIFS('Przypadki testowe'!$C$2:$C$300,"*"&amp;A55&amp;"*",'Przypadki testowe'!$K$2:$K$300,"Zaliczony"))</f>
        <v/>
      </c>
      <c r="G55" t="str">
        <f>IF(A55="","",COUNTIFS('Przypadki testowe'!$C$2:$C$300,"*"&amp;A55&amp;"*",'Przypadki testowe'!$K$2:$K$300,"Niezaliczony"))</f>
        <v/>
      </c>
      <c r="H55" t="str">
        <f t="shared" si="1"/>
        <v/>
      </c>
    </row>
    <row r="56" spans="5:8">
      <c r="E56" t="str">
        <f>IF(A56="","",COUNTIF('Przypadki testowe'!$C$2:$C$300,"*"&amp;A56&amp;"*"))</f>
        <v/>
      </c>
      <c r="F56" t="str">
        <f>IF(A56="","",COUNTIFS('Przypadki testowe'!$C$2:$C$300,"*"&amp;A56&amp;"*",'Przypadki testowe'!$K$2:$K$300,"Zaliczony"))</f>
        <v/>
      </c>
      <c r="G56" t="str">
        <f>IF(A56="","",COUNTIFS('Przypadki testowe'!$C$2:$C$300,"*"&amp;A56&amp;"*",'Przypadki testowe'!$K$2:$K$300,"Niezaliczony"))</f>
        <v/>
      </c>
      <c r="H56" t="str">
        <f t="shared" si="1"/>
        <v/>
      </c>
    </row>
    <row r="57" spans="5:8">
      <c r="E57" t="str">
        <f>IF(A57="","",COUNTIF('Przypadki testowe'!$C$2:$C$300,"*"&amp;A57&amp;"*"))</f>
        <v/>
      </c>
      <c r="F57" t="str">
        <f>IF(A57="","",COUNTIFS('Przypadki testowe'!$C$2:$C$300,"*"&amp;A57&amp;"*",'Przypadki testowe'!$K$2:$K$300,"Zaliczony"))</f>
        <v/>
      </c>
      <c r="G57" t="str">
        <f>IF(A57="","",COUNTIFS('Przypadki testowe'!$C$2:$C$300,"*"&amp;A57&amp;"*",'Przypadki testowe'!$K$2:$K$300,"Niezaliczony"))</f>
        <v/>
      </c>
      <c r="H57" t="str">
        <f t="shared" si="1"/>
        <v/>
      </c>
    </row>
    <row r="58" spans="5:8">
      <c r="E58" t="str">
        <f>IF(A58="","",COUNTIF('Przypadki testowe'!$C$2:$C$300,"*"&amp;A58&amp;"*"))</f>
        <v/>
      </c>
      <c r="F58" t="str">
        <f>IF(A58="","",COUNTIFS('Przypadki testowe'!$C$2:$C$300,"*"&amp;A58&amp;"*",'Przypadki testowe'!$K$2:$K$300,"Zaliczony"))</f>
        <v/>
      </c>
      <c r="G58" t="str">
        <f>IF(A58="","",COUNTIFS('Przypadki testowe'!$C$2:$C$300,"*"&amp;A58&amp;"*",'Przypadki testowe'!$K$2:$K$300,"Niezaliczony"))</f>
        <v/>
      </c>
      <c r="H58" t="str">
        <f t="shared" si="1"/>
        <v/>
      </c>
    </row>
    <row r="59" spans="5:8">
      <c r="E59" t="str">
        <f>IF(A59="","",COUNTIF('Przypadki testowe'!$C$2:$C$300,"*"&amp;A59&amp;"*"))</f>
        <v/>
      </c>
      <c r="F59" t="str">
        <f>IF(A59="","",COUNTIFS('Przypadki testowe'!$C$2:$C$300,"*"&amp;A59&amp;"*",'Przypadki testowe'!$K$2:$K$300,"Zaliczony"))</f>
        <v/>
      </c>
      <c r="G59" t="str">
        <f>IF(A59="","",COUNTIFS('Przypadki testowe'!$C$2:$C$300,"*"&amp;A59&amp;"*",'Przypadki testowe'!$K$2:$K$300,"Niezaliczony"))</f>
        <v/>
      </c>
      <c r="H59" t="str">
        <f t="shared" si="1"/>
        <v/>
      </c>
    </row>
    <row r="60" spans="5:8">
      <c r="E60" t="str">
        <f>IF(A60="","",COUNTIF('Przypadki testowe'!$C$2:$C$300,"*"&amp;A60&amp;"*"))</f>
        <v/>
      </c>
      <c r="F60" t="str">
        <f>IF(A60="","",COUNTIFS('Przypadki testowe'!$C$2:$C$300,"*"&amp;A60&amp;"*",'Przypadki testowe'!$K$2:$K$300,"Zaliczony"))</f>
        <v/>
      </c>
      <c r="G60" t="str">
        <f>IF(A60="","",COUNTIFS('Przypadki testowe'!$C$2:$C$300,"*"&amp;A60&amp;"*",'Przypadki testowe'!$K$2:$K$300,"Niezaliczony"))</f>
        <v/>
      </c>
      <c r="H60" t="str">
        <f t="shared" si="1"/>
        <v/>
      </c>
    </row>
    <row r="61" spans="5:8">
      <c r="E61" t="str">
        <f>IF(A61="","",COUNTIF('Przypadki testowe'!$C$2:$C$300,"*"&amp;A61&amp;"*"))</f>
        <v/>
      </c>
      <c r="F61" t="str">
        <f>IF(A61="","",COUNTIFS('Przypadki testowe'!$C$2:$C$300,"*"&amp;A61&amp;"*",'Przypadki testowe'!$K$2:$K$300,"Zaliczony"))</f>
        <v/>
      </c>
      <c r="G61" t="str">
        <f>IF(A61="","",COUNTIFS('Przypadki testowe'!$C$2:$C$300,"*"&amp;A61&amp;"*",'Przypadki testowe'!$K$2:$K$300,"Niezaliczony"))</f>
        <v/>
      </c>
      <c r="H61" t="str">
        <f t="shared" si="1"/>
        <v/>
      </c>
    </row>
    <row r="62" spans="5:8">
      <c r="E62" t="str">
        <f>IF(A62="","",COUNTIF('Przypadki testowe'!$C$2:$C$300,"*"&amp;A62&amp;"*"))</f>
        <v/>
      </c>
      <c r="F62" t="str">
        <f>IF(A62="","",COUNTIFS('Przypadki testowe'!$C$2:$C$300,"*"&amp;A62&amp;"*",'Przypadki testowe'!$K$2:$K$300,"Zaliczony"))</f>
        <v/>
      </c>
      <c r="G62" t="str">
        <f>IF(A62="","",COUNTIFS('Przypadki testowe'!$C$2:$C$300,"*"&amp;A62&amp;"*",'Przypadki testowe'!$K$2:$K$300,"Niezaliczony"))</f>
        <v/>
      </c>
      <c r="H62" t="str">
        <f t="shared" si="1"/>
        <v/>
      </c>
    </row>
    <row r="63" spans="5:8">
      <c r="E63" t="str">
        <f>IF(A63="","",COUNTIF('Przypadki testowe'!$C$2:$C$300,"*"&amp;A63&amp;"*"))</f>
        <v/>
      </c>
      <c r="F63" t="str">
        <f>IF(A63="","",COUNTIFS('Przypadki testowe'!$C$2:$C$300,"*"&amp;A63&amp;"*",'Przypadki testowe'!$K$2:$K$300,"Zaliczony"))</f>
        <v/>
      </c>
      <c r="G63" t="str">
        <f>IF(A63="","",COUNTIFS('Przypadki testowe'!$C$2:$C$300,"*"&amp;A63&amp;"*",'Przypadki testowe'!$K$2:$K$300,"Niezaliczony"))</f>
        <v/>
      </c>
      <c r="H63" t="str">
        <f t="shared" si="1"/>
        <v/>
      </c>
    </row>
    <row r="64" spans="5:8">
      <c r="E64" t="str">
        <f>IF(A64="","",COUNTIF('Przypadki testowe'!$C$2:$C$300,"*"&amp;A64&amp;"*"))</f>
        <v/>
      </c>
      <c r="F64" t="str">
        <f>IF(A64="","",COUNTIFS('Przypadki testowe'!$C$2:$C$300,"*"&amp;A64&amp;"*",'Przypadki testowe'!$K$2:$K$300,"Zaliczony"))</f>
        <v/>
      </c>
      <c r="G64" t="str">
        <f>IF(A64="","",COUNTIFS('Przypadki testowe'!$C$2:$C$300,"*"&amp;A64&amp;"*",'Przypadki testowe'!$K$2:$K$300,"Niezaliczony"))</f>
        <v/>
      </c>
      <c r="H64" t="str">
        <f t="shared" si="1"/>
        <v/>
      </c>
    </row>
    <row r="65" spans="5:8">
      <c r="E65" t="str">
        <f>IF(A65="","",COUNTIF('Przypadki testowe'!$C$2:$C$300,"*"&amp;A65&amp;"*"))</f>
        <v/>
      </c>
      <c r="F65" t="str">
        <f>IF(A65="","",COUNTIFS('Przypadki testowe'!$C$2:$C$300,"*"&amp;A65&amp;"*",'Przypadki testowe'!$K$2:$K$300,"Zaliczony"))</f>
        <v/>
      </c>
      <c r="G65" t="str">
        <f>IF(A65="","",COUNTIFS('Przypadki testowe'!$C$2:$C$300,"*"&amp;A65&amp;"*",'Przypadki testowe'!$K$2:$K$300,"Niezaliczony"))</f>
        <v/>
      </c>
      <c r="H65" t="str">
        <f t="shared" si="1"/>
        <v/>
      </c>
    </row>
    <row r="66" spans="5:8">
      <c r="E66" t="str">
        <f>IF(A66="","",COUNTIF('Przypadki testowe'!$C$2:$C$300,"*"&amp;A66&amp;"*"))</f>
        <v/>
      </c>
      <c r="F66" t="str">
        <f>IF(A66="","",COUNTIFS('Przypadki testowe'!$C$2:$C$300,"*"&amp;A66&amp;"*",'Przypadki testowe'!$K$2:$K$300,"Zaliczony"))</f>
        <v/>
      </c>
      <c r="G66" t="str">
        <f>IF(A66="","",COUNTIFS('Przypadki testowe'!$C$2:$C$300,"*"&amp;A66&amp;"*",'Przypadki testowe'!$K$2:$K$300,"Niezaliczony"))</f>
        <v/>
      </c>
      <c r="H66" t="str">
        <f t="shared" ref="H66:H97" si="2">IF(A66="","",IF(E66&gt;0,"Pokryte","BRAK"))</f>
        <v/>
      </c>
    </row>
    <row r="67" spans="5:8">
      <c r="E67" t="str">
        <f>IF(A67="","",COUNTIF('Przypadki testowe'!$C$2:$C$300,"*"&amp;A67&amp;"*"))</f>
        <v/>
      </c>
      <c r="F67" t="str">
        <f>IF(A67="","",COUNTIFS('Przypadki testowe'!$C$2:$C$300,"*"&amp;A67&amp;"*",'Przypadki testowe'!$K$2:$K$300,"Zaliczony"))</f>
        <v/>
      </c>
      <c r="G67" t="str">
        <f>IF(A67="","",COUNTIFS('Przypadki testowe'!$C$2:$C$300,"*"&amp;A67&amp;"*",'Przypadki testowe'!$K$2:$K$300,"Niezaliczony"))</f>
        <v/>
      </c>
      <c r="H67" t="str">
        <f t="shared" si="2"/>
        <v/>
      </c>
    </row>
    <row r="68" spans="5:8">
      <c r="E68" t="str">
        <f>IF(A68="","",COUNTIF('Przypadki testowe'!$C$2:$C$300,"*"&amp;A68&amp;"*"))</f>
        <v/>
      </c>
      <c r="F68" t="str">
        <f>IF(A68="","",COUNTIFS('Przypadki testowe'!$C$2:$C$300,"*"&amp;A68&amp;"*",'Przypadki testowe'!$K$2:$K$300,"Zaliczony"))</f>
        <v/>
      </c>
      <c r="G68" t="str">
        <f>IF(A68="","",COUNTIFS('Przypadki testowe'!$C$2:$C$300,"*"&amp;A68&amp;"*",'Przypadki testowe'!$K$2:$K$300,"Niezaliczony"))</f>
        <v/>
      </c>
      <c r="H68" t="str">
        <f t="shared" si="2"/>
        <v/>
      </c>
    </row>
    <row r="69" spans="5:8">
      <c r="E69" t="str">
        <f>IF(A69="","",COUNTIF('Przypadki testowe'!$C$2:$C$300,"*"&amp;A69&amp;"*"))</f>
        <v/>
      </c>
      <c r="F69" t="str">
        <f>IF(A69="","",COUNTIFS('Przypadki testowe'!$C$2:$C$300,"*"&amp;A69&amp;"*",'Przypadki testowe'!$K$2:$K$300,"Zaliczony"))</f>
        <v/>
      </c>
      <c r="G69" t="str">
        <f>IF(A69="","",COUNTIFS('Przypadki testowe'!$C$2:$C$300,"*"&amp;A69&amp;"*",'Przypadki testowe'!$K$2:$K$300,"Niezaliczony"))</f>
        <v/>
      </c>
      <c r="H69" t="str">
        <f t="shared" si="2"/>
        <v/>
      </c>
    </row>
    <row r="70" spans="5:8">
      <c r="E70" t="str">
        <f>IF(A70="","",COUNTIF('Przypadki testowe'!$C$2:$C$300,"*"&amp;A70&amp;"*"))</f>
        <v/>
      </c>
      <c r="F70" t="str">
        <f>IF(A70="","",COUNTIFS('Przypadki testowe'!$C$2:$C$300,"*"&amp;A70&amp;"*",'Przypadki testowe'!$K$2:$K$300,"Zaliczony"))</f>
        <v/>
      </c>
      <c r="G70" t="str">
        <f>IF(A70="","",COUNTIFS('Przypadki testowe'!$C$2:$C$300,"*"&amp;A70&amp;"*",'Przypadki testowe'!$K$2:$K$300,"Niezaliczony"))</f>
        <v/>
      </c>
      <c r="H70" t="str">
        <f t="shared" si="2"/>
        <v/>
      </c>
    </row>
    <row r="71" spans="5:8">
      <c r="E71" t="str">
        <f>IF(A71="","",COUNTIF('Przypadki testowe'!$C$2:$C$300,"*"&amp;A71&amp;"*"))</f>
        <v/>
      </c>
      <c r="F71" t="str">
        <f>IF(A71="","",COUNTIFS('Przypadki testowe'!$C$2:$C$300,"*"&amp;A71&amp;"*",'Przypadki testowe'!$K$2:$K$300,"Zaliczony"))</f>
        <v/>
      </c>
      <c r="G71" t="str">
        <f>IF(A71="","",COUNTIFS('Przypadki testowe'!$C$2:$C$300,"*"&amp;A71&amp;"*",'Przypadki testowe'!$K$2:$K$300,"Niezaliczony"))</f>
        <v/>
      </c>
      <c r="H71" t="str">
        <f t="shared" si="2"/>
        <v/>
      </c>
    </row>
    <row r="72" spans="5:8">
      <c r="E72" t="str">
        <f>IF(A72="","",COUNTIF('Przypadki testowe'!$C$2:$C$300,"*"&amp;A72&amp;"*"))</f>
        <v/>
      </c>
      <c r="F72" t="str">
        <f>IF(A72="","",COUNTIFS('Przypadki testowe'!$C$2:$C$300,"*"&amp;A72&amp;"*",'Przypadki testowe'!$K$2:$K$300,"Zaliczony"))</f>
        <v/>
      </c>
      <c r="G72" t="str">
        <f>IF(A72="","",COUNTIFS('Przypadki testowe'!$C$2:$C$300,"*"&amp;A72&amp;"*",'Przypadki testowe'!$K$2:$K$300,"Niezaliczony"))</f>
        <v/>
      </c>
      <c r="H72" t="str">
        <f t="shared" si="2"/>
        <v/>
      </c>
    </row>
    <row r="73" spans="5:8">
      <c r="E73" t="str">
        <f>IF(A73="","",COUNTIF('Przypadki testowe'!$C$2:$C$300,"*"&amp;A73&amp;"*"))</f>
        <v/>
      </c>
      <c r="F73" t="str">
        <f>IF(A73="","",COUNTIFS('Przypadki testowe'!$C$2:$C$300,"*"&amp;A73&amp;"*",'Przypadki testowe'!$K$2:$K$300,"Zaliczony"))</f>
        <v/>
      </c>
      <c r="G73" t="str">
        <f>IF(A73="","",COUNTIFS('Przypadki testowe'!$C$2:$C$300,"*"&amp;A73&amp;"*",'Przypadki testowe'!$K$2:$K$300,"Niezaliczony"))</f>
        <v/>
      </c>
      <c r="H73" t="str">
        <f t="shared" si="2"/>
        <v/>
      </c>
    </row>
    <row r="74" spans="5:8">
      <c r="E74" t="str">
        <f>IF(A74="","",COUNTIF('Przypadki testowe'!$C$2:$C$300,"*"&amp;A74&amp;"*"))</f>
        <v/>
      </c>
      <c r="F74" t="str">
        <f>IF(A74="","",COUNTIFS('Przypadki testowe'!$C$2:$C$300,"*"&amp;A74&amp;"*",'Przypadki testowe'!$K$2:$K$300,"Zaliczony"))</f>
        <v/>
      </c>
      <c r="G74" t="str">
        <f>IF(A74="","",COUNTIFS('Przypadki testowe'!$C$2:$C$300,"*"&amp;A74&amp;"*",'Przypadki testowe'!$K$2:$K$300,"Niezaliczony"))</f>
        <v/>
      </c>
      <c r="H74" t="str">
        <f t="shared" si="2"/>
        <v/>
      </c>
    </row>
    <row r="75" spans="5:8">
      <c r="E75" t="str">
        <f>IF(A75="","",COUNTIF('Przypadki testowe'!$C$2:$C$300,"*"&amp;A75&amp;"*"))</f>
        <v/>
      </c>
      <c r="F75" t="str">
        <f>IF(A75="","",COUNTIFS('Przypadki testowe'!$C$2:$C$300,"*"&amp;A75&amp;"*",'Przypadki testowe'!$K$2:$K$300,"Zaliczony"))</f>
        <v/>
      </c>
      <c r="G75" t="str">
        <f>IF(A75="","",COUNTIFS('Przypadki testowe'!$C$2:$C$300,"*"&amp;A75&amp;"*",'Przypadki testowe'!$K$2:$K$300,"Niezaliczony"))</f>
        <v/>
      </c>
      <c r="H75" t="str">
        <f t="shared" si="2"/>
        <v/>
      </c>
    </row>
    <row r="76" spans="5:8">
      <c r="E76" t="str">
        <f>IF(A76="","",COUNTIF('Przypadki testowe'!$C$2:$C$300,"*"&amp;A76&amp;"*"))</f>
        <v/>
      </c>
      <c r="F76" t="str">
        <f>IF(A76="","",COUNTIFS('Przypadki testowe'!$C$2:$C$300,"*"&amp;A76&amp;"*",'Przypadki testowe'!$K$2:$K$300,"Zaliczony"))</f>
        <v/>
      </c>
      <c r="G76" t="str">
        <f>IF(A76="","",COUNTIFS('Przypadki testowe'!$C$2:$C$300,"*"&amp;A76&amp;"*",'Przypadki testowe'!$K$2:$K$300,"Niezaliczony"))</f>
        <v/>
      </c>
      <c r="H76" t="str">
        <f t="shared" si="2"/>
        <v/>
      </c>
    </row>
    <row r="77" spans="5:8">
      <c r="E77" t="str">
        <f>IF(A77="","",COUNTIF('Przypadki testowe'!$C$2:$C$300,"*"&amp;A77&amp;"*"))</f>
        <v/>
      </c>
      <c r="F77" t="str">
        <f>IF(A77="","",COUNTIFS('Przypadki testowe'!$C$2:$C$300,"*"&amp;A77&amp;"*",'Przypadki testowe'!$K$2:$K$300,"Zaliczony"))</f>
        <v/>
      </c>
      <c r="G77" t="str">
        <f>IF(A77="","",COUNTIFS('Przypadki testowe'!$C$2:$C$300,"*"&amp;A77&amp;"*",'Przypadki testowe'!$K$2:$K$300,"Niezaliczony"))</f>
        <v/>
      </c>
      <c r="H77" t="str">
        <f t="shared" si="2"/>
        <v/>
      </c>
    </row>
    <row r="78" spans="5:8">
      <c r="E78" t="str">
        <f>IF(A78="","",COUNTIF('Przypadki testowe'!$C$2:$C$300,"*"&amp;A78&amp;"*"))</f>
        <v/>
      </c>
      <c r="F78" t="str">
        <f>IF(A78="","",COUNTIFS('Przypadki testowe'!$C$2:$C$300,"*"&amp;A78&amp;"*",'Przypadki testowe'!$K$2:$K$300,"Zaliczony"))</f>
        <v/>
      </c>
      <c r="G78" t="str">
        <f>IF(A78="","",COUNTIFS('Przypadki testowe'!$C$2:$C$300,"*"&amp;A78&amp;"*",'Przypadki testowe'!$K$2:$K$300,"Niezaliczony"))</f>
        <v/>
      </c>
      <c r="H78" t="str">
        <f t="shared" si="2"/>
        <v/>
      </c>
    </row>
    <row r="79" spans="5:8">
      <c r="E79" t="str">
        <f>IF(A79="","",COUNTIF('Przypadki testowe'!$C$2:$C$300,"*"&amp;A79&amp;"*"))</f>
        <v/>
      </c>
      <c r="F79" t="str">
        <f>IF(A79="","",COUNTIFS('Przypadki testowe'!$C$2:$C$300,"*"&amp;A79&amp;"*",'Przypadki testowe'!$K$2:$K$300,"Zaliczony"))</f>
        <v/>
      </c>
      <c r="G79" t="str">
        <f>IF(A79="","",COUNTIFS('Przypadki testowe'!$C$2:$C$300,"*"&amp;A79&amp;"*",'Przypadki testowe'!$K$2:$K$300,"Niezaliczony"))</f>
        <v/>
      </c>
      <c r="H79" t="str">
        <f t="shared" si="2"/>
        <v/>
      </c>
    </row>
    <row r="80" spans="5:8">
      <c r="E80" t="str">
        <f>IF(A80="","",COUNTIF('Przypadki testowe'!$C$2:$C$300,"*"&amp;A80&amp;"*"))</f>
        <v/>
      </c>
      <c r="F80" t="str">
        <f>IF(A80="","",COUNTIFS('Przypadki testowe'!$C$2:$C$300,"*"&amp;A80&amp;"*",'Przypadki testowe'!$K$2:$K$300,"Zaliczony"))</f>
        <v/>
      </c>
      <c r="G80" t="str">
        <f>IF(A80="","",COUNTIFS('Przypadki testowe'!$C$2:$C$300,"*"&amp;A80&amp;"*",'Przypadki testowe'!$K$2:$K$300,"Niezaliczony"))</f>
        <v/>
      </c>
      <c r="H80" t="str">
        <f t="shared" si="2"/>
        <v/>
      </c>
    </row>
    <row r="81" spans="5:8">
      <c r="E81" t="str">
        <f>IF(A81="","",COUNTIF('Przypadki testowe'!$C$2:$C$300,"*"&amp;A81&amp;"*"))</f>
        <v/>
      </c>
      <c r="F81" t="str">
        <f>IF(A81="","",COUNTIFS('Przypadki testowe'!$C$2:$C$300,"*"&amp;A81&amp;"*",'Przypadki testowe'!$K$2:$K$300,"Zaliczony"))</f>
        <v/>
      </c>
      <c r="G81" t="str">
        <f>IF(A81="","",COUNTIFS('Przypadki testowe'!$C$2:$C$300,"*"&amp;A81&amp;"*",'Przypadki testowe'!$K$2:$K$300,"Niezaliczony"))</f>
        <v/>
      </c>
      <c r="H81" t="str">
        <f t="shared" si="2"/>
        <v/>
      </c>
    </row>
    <row r="82" spans="5:8">
      <c r="E82" t="str">
        <f>IF(A82="","",COUNTIF('Przypadki testowe'!$C$2:$C$300,"*"&amp;A82&amp;"*"))</f>
        <v/>
      </c>
      <c r="F82" t="str">
        <f>IF(A82="","",COUNTIFS('Przypadki testowe'!$C$2:$C$300,"*"&amp;A82&amp;"*",'Przypadki testowe'!$K$2:$K$300,"Zaliczony"))</f>
        <v/>
      </c>
      <c r="G82" t="str">
        <f>IF(A82="","",COUNTIFS('Przypadki testowe'!$C$2:$C$300,"*"&amp;A82&amp;"*",'Przypadki testowe'!$K$2:$K$300,"Niezaliczony"))</f>
        <v/>
      </c>
      <c r="H82" t="str">
        <f t="shared" si="2"/>
        <v/>
      </c>
    </row>
    <row r="83" spans="5:8">
      <c r="E83" t="str">
        <f>IF(A83="","",COUNTIF('Przypadki testowe'!$C$2:$C$300,"*"&amp;A83&amp;"*"))</f>
        <v/>
      </c>
      <c r="F83" t="str">
        <f>IF(A83="","",COUNTIFS('Przypadki testowe'!$C$2:$C$300,"*"&amp;A83&amp;"*",'Przypadki testowe'!$K$2:$K$300,"Zaliczony"))</f>
        <v/>
      </c>
      <c r="G83" t="str">
        <f>IF(A83="","",COUNTIFS('Przypadki testowe'!$C$2:$C$300,"*"&amp;A83&amp;"*",'Przypadki testowe'!$K$2:$K$300,"Niezaliczony"))</f>
        <v/>
      </c>
      <c r="H83" t="str">
        <f t="shared" si="2"/>
        <v/>
      </c>
    </row>
    <row r="84" spans="5:8">
      <c r="E84" t="str">
        <f>IF(A84="","",COUNTIF('Przypadki testowe'!$C$2:$C$300,"*"&amp;A84&amp;"*"))</f>
        <v/>
      </c>
      <c r="F84" t="str">
        <f>IF(A84="","",COUNTIFS('Przypadki testowe'!$C$2:$C$300,"*"&amp;A84&amp;"*",'Przypadki testowe'!$K$2:$K$300,"Zaliczony"))</f>
        <v/>
      </c>
      <c r="G84" t="str">
        <f>IF(A84="","",COUNTIFS('Przypadki testowe'!$C$2:$C$300,"*"&amp;A84&amp;"*",'Przypadki testowe'!$K$2:$K$300,"Niezaliczony"))</f>
        <v/>
      </c>
      <c r="H84" t="str">
        <f t="shared" si="2"/>
        <v/>
      </c>
    </row>
    <row r="85" spans="5:8">
      <c r="E85" t="str">
        <f>IF(A85="","",COUNTIF('Przypadki testowe'!$C$2:$C$300,"*"&amp;A85&amp;"*"))</f>
        <v/>
      </c>
      <c r="F85" t="str">
        <f>IF(A85="","",COUNTIFS('Przypadki testowe'!$C$2:$C$300,"*"&amp;A85&amp;"*",'Przypadki testowe'!$K$2:$K$300,"Zaliczony"))</f>
        <v/>
      </c>
      <c r="G85" t="str">
        <f>IF(A85="","",COUNTIFS('Przypadki testowe'!$C$2:$C$300,"*"&amp;A85&amp;"*",'Przypadki testowe'!$K$2:$K$300,"Niezaliczony"))</f>
        <v/>
      </c>
      <c r="H85" t="str">
        <f t="shared" si="2"/>
        <v/>
      </c>
    </row>
    <row r="86" spans="5:8">
      <c r="E86" t="str">
        <f>IF(A86="","",COUNTIF('Przypadki testowe'!$C$2:$C$300,"*"&amp;A86&amp;"*"))</f>
        <v/>
      </c>
      <c r="F86" t="str">
        <f>IF(A86="","",COUNTIFS('Przypadki testowe'!$C$2:$C$300,"*"&amp;A86&amp;"*",'Przypadki testowe'!$K$2:$K$300,"Zaliczony"))</f>
        <v/>
      </c>
      <c r="G86" t="str">
        <f>IF(A86="","",COUNTIFS('Przypadki testowe'!$C$2:$C$300,"*"&amp;A86&amp;"*",'Przypadki testowe'!$K$2:$K$300,"Niezaliczony"))</f>
        <v/>
      </c>
      <c r="H86" t="str">
        <f t="shared" si="2"/>
        <v/>
      </c>
    </row>
    <row r="87" spans="5:8">
      <c r="E87" t="str">
        <f>IF(A87="","",COUNTIF('Przypadki testowe'!$C$2:$C$300,"*"&amp;A87&amp;"*"))</f>
        <v/>
      </c>
      <c r="F87" t="str">
        <f>IF(A87="","",COUNTIFS('Przypadki testowe'!$C$2:$C$300,"*"&amp;A87&amp;"*",'Przypadki testowe'!$K$2:$K$300,"Zaliczony"))</f>
        <v/>
      </c>
      <c r="G87" t="str">
        <f>IF(A87="","",COUNTIFS('Przypadki testowe'!$C$2:$C$300,"*"&amp;A87&amp;"*",'Przypadki testowe'!$K$2:$K$300,"Niezaliczony"))</f>
        <v/>
      </c>
      <c r="H87" t="str">
        <f t="shared" si="2"/>
        <v/>
      </c>
    </row>
    <row r="88" spans="5:8">
      <c r="E88" t="str">
        <f>IF(A88="","",COUNTIF('Przypadki testowe'!$C$2:$C$300,"*"&amp;A88&amp;"*"))</f>
        <v/>
      </c>
      <c r="F88" t="str">
        <f>IF(A88="","",COUNTIFS('Przypadki testowe'!$C$2:$C$300,"*"&amp;A88&amp;"*",'Przypadki testowe'!$K$2:$K$300,"Zaliczony"))</f>
        <v/>
      </c>
      <c r="G88" t="str">
        <f>IF(A88="","",COUNTIFS('Przypadki testowe'!$C$2:$C$300,"*"&amp;A88&amp;"*",'Przypadki testowe'!$K$2:$K$300,"Niezaliczony"))</f>
        <v/>
      </c>
      <c r="H88" t="str">
        <f t="shared" si="2"/>
        <v/>
      </c>
    </row>
    <row r="89" spans="5:8">
      <c r="E89" t="str">
        <f>IF(A89="","",COUNTIF('Przypadki testowe'!$C$2:$C$300,"*"&amp;A89&amp;"*"))</f>
        <v/>
      </c>
      <c r="F89" t="str">
        <f>IF(A89="","",COUNTIFS('Przypadki testowe'!$C$2:$C$300,"*"&amp;A89&amp;"*",'Przypadki testowe'!$K$2:$K$300,"Zaliczony"))</f>
        <v/>
      </c>
      <c r="G89" t="str">
        <f>IF(A89="","",COUNTIFS('Przypadki testowe'!$C$2:$C$300,"*"&amp;A89&amp;"*",'Przypadki testowe'!$K$2:$K$300,"Niezaliczony"))</f>
        <v/>
      </c>
      <c r="H89" t="str">
        <f t="shared" si="2"/>
        <v/>
      </c>
    </row>
    <row r="90" spans="5:8">
      <c r="E90" t="str">
        <f>IF(A90="","",COUNTIF('Przypadki testowe'!$C$2:$C$300,"*"&amp;A90&amp;"*"))</f>
        <v/>
      </c>
      <c r="F90" t="str">
        <f>IF(A90="","",COUNTIFS('Przypadki testowe'!$C$2:$C$300,"*"&amp;A90&amp;"*",'Przypadki testowe'!$K$2:$K$300,"Zaliczony"))</f>
        <v/>
      </c>
      <c r="G90" t="str">
        <f>IF(A90="","",COUNTIFS('Przypadki testowe'!$C$2:$C$300,"*"&amp;A90&amp;"*",'Przypadki testowe'!$K$2:$K$300,"Niezaliczony"))</f>
        <v/>
      </c>
      <c r="H90" t="str">
        <f t="shared" si="2"/>
        <v/>
      </c>
    </row>
    <row r="91" spans="5:8">
      <c r="E91" t="str">
        <f>IF(A91="","",COUNTIF('Przypadki testowe'!$C$2:$C$300,"*"&amp;A91&amp;"*"))</f>
        <v/>
      </c>
      <c r="F91" t="str">
        <f>IF(A91="","",COUNTIFS('Przypadki testowe'!$C$2:$C$300,"*"&amp;A91&amp;"*",'Przypadki testowe'!$K$2:$K$300,"Zaliczony"))</f>
        <v/>
      </c>
      <c r="G91" t="str">
        <f>IF(A91="","",COUNTIFS('Przypadki testowe'!$C$2:$C$300,"*"&amp;A91&amp;"*",'Przypadki testowe'!$K$2:$K$300,"Niezaliczony"))</f>
        <v/>
      </c>
      <c r="H91" t="str">
        <f t="shared" si="2"/>
        <v/>
      </c>
    </row>
    <row r="92" spans="5:8">
      <c r="E92" t="str">
        <f>IF(A92="","",COUNTIF('Przypadki testowe'!$C$2:$C$300,"*"&amp;A92&amp;"*"))</f>
        <v/>
      </c>
      <c r="F92" t="str">
        <f>IF(A92="","",COUNTIFS('Przypadki testowe'!$C$2:$C$300,"*"&amp;A92&amp;"*",'Przypadki testowe'!$K$2:$K$300,"Zaliczony"))</f>
        <v/>
      </c>
      <c r="G92" t="str">
        <f>IF(A92="","",COUNTIFS('Przypadki testowe'!$C$2:$C$300,"*"&amp;A92&amp;"*",'Przypadki testowe'!$K$2:$K$300,"Niezaliczony"))</f>
        <v/>
      </c>
      <c r="H92" t="str">
        <f t="shared" si="2"/>
        <v/>
      </c>
    </row>
    <row r="93" spans="5:8">
      <c r="E93" t="str">
        <f>IF(A93="","",COUNTIF('Przypadki testowe'!$C$2:$C$300,"*"&amp;A93&amp;"*"))</f>
        <v/>
      </c>
      <c r="F93" t="str">
        <f>IF(A93="","",COUNTIFS('Przypadki testowe'!$C$2:$C$300,"*"&amp;A93&amp;"*",'Przypadki testowe'!$K$2:$K$300,"Zaliczony"))</f>
        <v/>
      </c>
      <c r="G93" t="str">
        <f>IF(A93="","",COUNTIFS('Przypadki testowe'!$C$2:$C$300,"*"&amp;A93&amp;"*",'Przypadki testowe'!$K$2:$K$300,"Niezaliczony"))</f>
        <v/>
      </c>
      <c r="H93" t="str">
        <f t="shared" si="2"/>
        <v/>
      </c>
    </row>
    <row r="94" spans="5:8">
      <c r="E94" t="str">
        <f>IF(A94="","",COUNTIF('Przypadki testowe'!$C$2:$C$300,"*"&amp;A94&amp;"*"))</f>
        <v/>
      </c>
      <c r="F94" t="str">
        <f>IF(A94="","",COUNTIFS('Przypadki testowe'!$C$2:$C$300,"*"&amp;A94&amp;"*",'Przypadki testowe'!$K$2:$K$300,"Zaliczony"))</f>
        <v/>
      </c>
      <c r="G94" t="str">
        <f>IF(A94="","",COUNTIFS('Przypadki testowe'!$C$2:$C$300,"*"&amp;A94&amp;"*",'Przypadki testowe'!$K$2:$K$300,"Niezaliczony"))</f>
        <v/>
      </c>
      <c r="H94" t="str">
        <f t="shared" si="2"/>
        <v/>
      </c>
    </row>
    <row r="95" spans="5:8">
      <c r="E95" t="str">
        <f>IF(A95="","",COUNTIF('Przypadki testowe'!$C$2:$C$300,"*"&amp;A95&amp;"*"))</f>
        <v/>
      </c>
      <c r="F95" t="str">
        <f>IF(A95="","",COUNTIFS('Przypadki testowe'!$C$2:$C$300,"*"&amp;A95&amp;"*",'Przypadki testowe'!$K$2:$K$300,"Zaliczony"))</f>
        <v/>
      </c>
      <c r="G95" t="str">
        <f>IF(A95="","",COUNTIFS('Przypadki testowe'!$C$2:$C$300,"*"&amp;A95&amp;"*",'Przypadki testowe'!$K$2:$K$300,"Niezaliczony"))</f>
        <v/>
      </c>
      <c r="H95" t="str">
        <f t="shared" si="2"/>
        <v/>
      </c>
    </row>
    <row r="96" spans="5:8">
      <c r="E96" t="str">
        <f>IF(A96="","",COUNTIF('Przypadki testowe'!$C$2:$C$300,"*"&amp;A96&amp;"*"))</f>
        <v/>
      </c>
      <c r="F96" t="str">
        <f>IF(A96="","",COUNTIFS('Przypadki testowe'!$C$2:$C$300,"*"&amp;A96&amp;"*",'Przypadki testowe'!$K$2:$K$300,"Zaliczony"))</f>
        <v/>
      </c>
      <c r="G96" t="str">
        <f>IF(A96="","",COUNTIFS('Przypadki testowe'!$C$2:$C$300,"*"&amp;A96&amp;"*",'Przypadki testowe'!$K$2:$K$300,"Niezaliczony"))</f>
        <v/>
      </c>
      <c r="H96" t="str">
        <f t="shared" si="2"/>
        <v/>
      </c>
    </row>
    <row r="97" spans="5:8">
      <c r="E97" t="str">
        <f>IF(A97="","",COUNTIF('Przypadki testowe'!$C$2:$C$300,"*"&amp;A97&amp;"*"))</f>
        <v/>
      </c>
      <c r="F97" t="str">
        <f>IF(A97="","",COUNTIFS('Przypadki testowe'!$C$2:$C$300,"*"&amp;A97&amp;"*",'Przypadki testowe'!$K$2:$K$300,"Zaliczony"))</f>
        <v/>
      </c>
      <c r="G97" t="str">
        <f>IF(A97="","",COUNTIFS('Przypadki testowe'!$C$2:$C$300,"*"&amp;A97&amp;"*",'Przypadki testowe'!$K$2:$K$300,"Niezaliczony"))</f>
        <v/>
      </c>
      <c r="H97" t="str">
        <f t="shared" si="2"/>
        <v/>
      </c>
    </row>
    <row r="98" spans="5:8">
      <c r="E98" t="str">
        <f>IF(A98="","",COUNTIF('Przypadki testowe'!$C$2:$C$300,"*"&amp;A98&amp;"*"))</f>
        <v/>
      </c>
      <c r="F98" t="str">
        <f>IF(A98="","",COUNTIFS('Przypadki testowe'!$C$2:$C$300,"*"&amp;A98&amp;"*",'Przypadki testowe'!$K$2:$K$300,"Zaliczony"))</f>
        <v/>
      </c>
      <c r="G98" t="str">
        <f>IF(A98="","",COUNTIFS('Przypadki testowe'!$C$2:$C$300,"*"&amp;A98&amp;"*",'Przypadki testowe'!$K$2:$K$300,"Niezaliczony"))</f>
        <v/>
      </c>
      <c r="H98" t="str">
        <f t="shared" ref="H98:H120" si="3">IF(A98="","",IF(E98&gt;0,"Pokryte","BRAK"))</f>
        <v/>
      </c>
    </row>
    <row r="99" spans="5:8">
      <c r="E99" t="str">
        <f>IF(A99="","",COUNTIF('Przypadki testowe'!$C$2:$C$300,"*"&amp;A99&amp;"*"))</f>
        <v/>
      </c>
      <c r="F99" t="str">
        <f>IF(A99="","",COUNTIFS('Przypadki testowe'!$C$2:$C$300,"*"&amp;A99&amp;"*",'Przypadki testowe'!$K$2:$K$300,"Zaliczony"))</f>
        <v/>
      </c>
      <c r="G99" t="str">
        <f>IF(A99="","",COUNTIFS('Przypadki testowe'!$C$2:$C$300,"*"&amp;A99&amp;"*",'Przypadki testowe'!$K$2:$K$300,"Niezaliczony"))</f>
        <v/>
      </c>
      <c r="H99" t="str">
        <f t="shared" si="3"/>
        <v/>
      </c>
    </row>
    <row r="100" spans="5:8">
      <c r="E100" t="str">
        <f>IF(A100="","",COUNTIF('Przypadki testowe'!$C$2:$C$300,"*"&amp;A100&amp;"*"))</f>
        <v/>
      </c>
      <c r="F100" t="str">
        <f>IF(A100="","",COUNTIFS('Przypadki testowe'!$C$2:$C$300,"*"&amp;A100&amp;"*",'Przypadki testowe'!$K$2:$K$300,"Zaliczony"))</f>
        <v/>
      </c>
      <c r="G100" t="str">
        <f>IF(A100="","",COUNTIFS('Przypadki testowe'!$C$2:$C$300,"*"&amp;A100&amp;"*",'Przypadki testowe'!$K$2:$K$300,"Niezaliczony"))</f>
        <v/>
      </c>
      <c r="H100" t="str">
        <f t="shared" si="3"/>
        <v/>
      </c>
    </row>
    <row r="101" spans="5:8">
      <c r="E101" t="str">
        <f>IF(A101="","",COUNTIF('Przypadki testowe'!$C$2:$C$300,"*"&amp;A101&amp;"*"))</f>
        <v/>
      </c>
      <c r="F101" t="str">
        <f>IF(A101="","",COUNTIFS('Przypadki testowe'!$C$2:$C$300,"*"&amp;A101&amp;"*",'Przypadki testowe'!$K$2:$K$300,"Zaliczony"))</f>
        <v/>
      </c>
      <c r="G101" t="str">
        <f>IF(A101="","",COUNTIFS('Przypadki testowe'!$C$2:$C$300,"*"&amp;A101&amp;"*",'Przypadki testowe'!$K$2:$K$300,"Niezaliczony"))</f>
        <v/>
      </c>
      <c r="H101" t="str">
        <f t="shared" si="3"/>
        <v/>
      </c>
    </row>
    <row r="102" spans="5:8">
      <c r="E102" t="str">
        <f>IF(A102="","",COUNTIF('Przypadki testowe'!$C$2:$C$300,"*"&amp;A102&amp;"*"))</f>
        <v/>
      </c>
      <c r="F102" t="str">
        <f>IF(A102="","",COUNTIFS('Przypadki testowe'!$C$2:$C$300,"*"&amp;A102&amp;"*",'Przypadki testowe'!$K$2:$K$300,"Zaliczony"))</f>
        <v/>
      </c>
      <c r="G102" t="str">
        <f>IF(A102="","",COUNTIFS('Przypadki testowe'!$C$2:$C$300,"*"&amp;A102&amp;"*",'Przypadki testowe'!$K$2:$K$300,"Niezaliczony"))</f>
        <v/>
      </c>
      <c r="H102" t="str">
        <f t="shared" si="3"/>
        <v/>
      </c>
    </row>
    <row r="103" spans="5:8">
      <c r="E103" t="str">
        <f>IF(A103="","",COUNTIF('Przypadki testowe'!$C$2:$C$300,"*"&amp;A103&amp;"*"))</f>
        <v/>
      </c>
      <c r="F103" t="str">
        <f>IF(A103="","",COUNTIFS('Przypadki testowe'!$C$2:$C$300,"*"&amp;A103&amp;"*",'Przypadki testowe'!$K$2:$K$300,"Zaliczony"))</f>
        <v/>
      </c>
      <c r="G103" t="str">
        <f>IF(A103="","",COUNTIFS('Przypadki testowe'!$C$2:$C$300,"*"&amp;A103&amp;"*",'Przypadki testowe'!$K$2:$K$300,"Niezaliczony"))</f>
        <v/>
      </c>
      <c r="H103" t="str">
        <f t="shared" si="3"/>
        <v/>
      </c>
    </row>
    <row r="104" spans="5:8">
      <c r="E104" t="str">
        <f>IF(A104="","",COUNTIF('Przypadki testowe'!$C$2:$C$300,"*"&amp;A104&amp;"*"))</f>
        <v/>
      </c>
      <c r="F104" t="str">
        <f>IF(A104="","",COUNTIFS('Przypadki testowe'!$C$2:$C$300,"*"&amp;A104&amp;"*",'Przypadki testowe'!$K$2:$K$300,"Zaliczony"))</f>
        <v/>
      </c>
      <c r="G104" t="str">
        <f>IF(A104="","",COUNTIFS('Przypadki testowe'!$C$2:$C$300,"*"&amp;A104&amp;"*",'Przypadki testowe'!$K$2:$K$300,"Niezaliczony"))</f>
        <v/>
      </c>
      <c r="H104" t="str">
        <f t="shared" si="3"/>
        <v/>
      </c>
    </row>
    <row r="105" spans="5:8">
      <c r="E105" t="str">
        <f>IF(A105="","",COUNTIF('Przypadki testowe'!$C$2:$C$300,"*"&amp;A105&amp;"*"))</f>
        <v/>
      </c>
      <c r="F105" t="str">
        <f>IF(A105="","",COUNTIFS('Przypadki testowe'!$C$2:$C$300,"*"&amp;A105&amp;"*",'Przypadki testowe'!$K$2:$K$300,"Zaliczony"))</f>
        <v/>
      </c>
      <c r="G105" t="str">
        <f>IF(A105="","",COUNTIFS('Przypadki testowe'!$C$2:$C$300,"*"&amp;A105&amp;"*",'Przypadki testowe'!$K$2:$K$300,"Niezaliczony"))</f>
        <v/>
      </c>
      <c r="H105" t="str">
        <f t="shared" si="3"/>
        <v/>
      </c>
    </row>
    <row r="106" spans="5:8">
      <c r="E106" t="str">
        <f>IF(A106="","",COUNTIF('Przypadki testowe'!$C$2:$C$300,"*"&amp;A106&amp;"*"))</f>
        <v/>
      </c>
      <c r="F106" t="str">
        <f>IF(A106="","",COUNTIFS('Przypadki testowe'!$C$2:$C$300,"*"&amp;A106&amp;"*",'Przypadki testowe'!$K$2:$K$300,"Zaliczony"))</f>
        <v/>
      </c>
      <c r="G106" t="str">
        <f>IF(A106="","",COUNTIFS('Przypadki testowe'!$C$2:$C$300,"*"&amp;A106&amp;"*",'Przypadki testowe'!$K$2:$K$300,"Niezaliczony"))</f>
        <v/>
      </c>
      <c r="H106" t="str">
        <f t="shared" si="3"/>
        <v/>
      </c>
    </row>
    <row r="107" spans="5:8">
      <c r="E107" t="str">
        <f>IF(A107="","",COUNTIF('Przypadki testowe'!$C$2:$C$300,"*"&amp;A107&amp;"*"))</f>
        <v/>
      </c>
      <c r="F107" t="str">
        <f>IF(A107="","",COUNTIFS('Przypadki testowe'!$C$2:$C$300,"*"&amp;A107&amp;"*",'Przypadki testowe'!$K$2:$K$300,"Zaliczony"))</f>
        <v/>
      </c>
      <c r="G107" t="str">
        <f>IF(A107="","",COUNTIFS('Przypadki testowe'!$C$2:$C$300,"*"&amp;A107&amp;"*",'Przypadki testowe'!$K$2:$K$300,"Niezaliczony"))</f>
        <v/>
      </c>
      <c r="H107" t="str">
        <f t="shared" si="3"/>
        <v/>
      </c>
    </row>
    <row r="108" spans="5:8">
      <c r="E108" t="str">
        <f>IF(A108="","",COUNTIF('Przypadki testowe'!$C$2:$C$300,"*"&amp;A108&amp;"*"))</f>
        <v/>
      </c>
      <c r="F108" t="str">
        <f>IF(A108="","",COUNTIFS('Przypadki testowe'!$C$2:$C$300,"*"&amp;A108&amp;"*",'Przypadki testowe'!$K$2:$K$300,"Zaliczony"))</f>
        <v/>
      </c>
      <c r="G108" t="str">
        <f>IF(A108="","",COUNTIFS('Przypadki testowe'!$C$2:$C$300,"*"&amp;A108&amp;"*",'Przypadki testowe'!$K$2:$K$300,"Niezaliczony"))</f>
        <v/>
      </c>
      <c r="H108" t="str">
        <f t="shared" si="3"/>
        <v/>
      </c>
    </row>
    <row r="109" spans="5:8">
      <c r="E109" t="str">
        <f>IF(A109="","",COUNTIF('Przypadki testowe'!$C$2:$C$300,"*"&amp;A109&amp;"*"))</f>
        <v/>
      </c>
      <c r="F109" t="str">
        <f>IF(A109="","",COUNTIFS('Przypadki testowe'!$C$2:$C$300,"*"&amp;A109&amp;"*",'Przypadki testowe'!$K$2:$K$300,"Zaliczony"))</f>
        <v/>
      </c>
      <c r="G109" t="str">
        <f>IF(A109="","",COUNTIFS('Przypadki testowe'!$C$2:$C$300,"*"&amp;A109&amp;"*",'Przypadki testowe'!$K$2:$K$300,"Niezaliczony"))</f>
        <v/>
      </c>
      <c r="H109" t="str">
        <f t="shared" si="3"/>
        <v/>
      </c>
    </row>
    <row r="110" spans="5:8">
      <c r="E110" t="str">
        <f>IF(A110="","",COUNTIF('Przypadki testowe'!$C$2:$C$300,"*"&amp;A110&amp;"*"))</f>
        <v/>
      </c>
      <c r="F110" t="str">
        <f>IF(A110="","",COUNTIFS('Przypadki testowe'!$C$2:$C$300,"*"&amp;A110&amp;"*",'Przypadki testowe'!$K$2:$K$300,"Zaliczony"))</f>
        <v/>
      </c>
      <c r="G110" t="str">
        <f>IF(A110="","",COUNTIFS('Przypadki testowe'!$C$2:$C$300,"*"&amp;A110&amp;"*",'Przypadki testowe'!$K$2:$K$300,"Niezaliczony"))</f>
        <v/>
      </c>
      <c r="H110" t="str">
        <f t="shared" si="3"/>
        <v/>
      </c>
    </row>
    <row r="111" spans="5:8">
      <c r="E111" t="str">
        <f>IF(A111="","",COUNTIF('Przypadki testowe'!$C$2:$C$300,"*"&amp;A111&amp;"*"))</f>
        <v/>
      </c>
      <c r="F111" t="str">
        <f>IF(A111="","",COUNTIFS('Przypadki testowe'!$C$2:$C$300,"*"&amp;A111&amp;"*",'Przypadki testowe'!$K$2:$K$300,"Zaliczony"))</f>
        <v/>
      </c>
      <c r="G111" t="str">
        <f>IF(A111="","",COUNTIFS('Przypadki testowe'!$C$2:$C$300,"*"&amp;A111&amp;"*",'Przypadki testowe'!$K$2:$K$300,"Niezaliczony"))</f>
        <v/>
      </c>
      <c r="H111" t="str">
        <f t="shared" si="3"/>
        <v/>
      </c>
    </row>
    <row r="112" spans="5:8">
      <c r="E112" t="str">
        <f>IF(A112="","",COUNTIF('Przypadki testowe'!$C$2:$C$300,"*"&amp;A112&amp;"*"))</f>
        <v/>
      </c>
      <c r="F112" t="str">
        <f>IF(A112="","",COUNTIFS('Przypadki testowe'!$C$2:$C$300,"*"&amp;A112&amp;"*",'Przypadki testowe'!$K$2:$K$300,"Zaliczony"))</f>
        <v/>
      </c>
      <c r="G112" t="str">
        <f>IF(A112="","",COUNTIFS('Przypadki testowe'!$C$2:$C$300,"*"&amp;A112&amp;"*",'Przypadki testowe'!$K$2:$K$300,"Niezaliczony"))</f>
        <v/>
      </c>
      <c r="H112" t="str">
        <f t="shared" si="3"/>
        <v/>
      </c>
    </row>
    <row r="113" spans="5:8">
      <c r="E113" t="str">
        <f>IF(A113="","",COUNTIF('Przypadki testowe'!$C$2:$C$300,"*"&amp;A113&amp;"*"))</f>
        <v/>
      </c>
      <c r="F113" t="str">
        <f>IF(A113="","",COUNTIFS('Przypadki testowe'!$C$2:$C$300,"*"&amp;A113&amp;"*",'Przypadki testowe'!$K$2:$K$300,"Zaliczony"))</f>
        <v/>
      </c>
      <c r="G113" t="str">
        <f>IF(A113="","",COUNTIFS('Przypadki testowe'!$C$2:$C$300,"*"&amp;A113&amp;"*",'Przypadki testowe'!$K$2:$K$300,"Niezaliczony"))</f>
        <v/>
      </c>
      <c r="H113" t="str">
        <f t="shared" si="3"/>
        <v/>
      </c>
    </row>
    <row r="114" spans="5:8">
      <c r="E114" t="str">
        <f>IF(A114="","",COUNTIF('Przypadki testowe'!$C$2:$C$300,"*"&amp;A114&amp;"*"))</f>
        <v/>
      </c>
      <c r="F114" t="str">
        <f>IF(A114="","",COUNTIFS('Przypadki testowe'!$C$2:$C$300,"*"&amp;A114&amp;"*",'Przypadki testowe'!$K$2:$K$300,"Zaliczony"))</f>
        <v/>
      </c>
      <c r="G114" t="str">
        <f>IF(A114="","",COUNTIFS('Przypadki testowe'!$C$2:$C$300,"*"&amp;A114&amp;"*",'Przypadki testowe'!$K$2:$K$300,"Niezaliczony"))</f>
        <v/>
      </c>
      <c r="H114" t="str">
        <f t="shared" si="3"/>
        <v/>
      </c>
    </row>
    <row r="115" spans="5:8">
      <c r="E115" t="str">
        <f>IF(A115="","",COUNTIF('Przypadki testowe'!$C$2:$C$300,"*"&amp;A115&amp;"*"))</f>
        <v/>
      </c>
      <c r="F115" t="str">
        <f>IF(A115="","",COUNTIFS('Przypadki testowe'!$C$2:$C$300,"*"&amp;A115&amp;"*",'Przypadki testowe'!$K$2:$K$300,"Zaliczony"))</f>
        <v/>
      </c>
      <c r="G115" t="str">
        <f>IF(A115="","",COUNTIFS('Przypadki testowe'!$C$2:$C$300,"*"&amp;A115&amp;"*",'Przypadki testowe'!$K$2:$K$300,"Niezaliczony"))</f>
        <v/>
      </c>
      <c r="H115" t="str">
        <f t="shared" si="3"/>
        <v/>
      </c>
    </row>
    <row r="116" spans="5:8">
      <c r="E116" t="str">
        <f>IF(A116="","",COUNTIF('Przypadki testowe'!$C$2:$C$300,"*"&amp;A116&amp;"*"))</f>
        <v/>
      </c>
      <c r="F116" t="str">
        <f>IF(A116="","",COUNTIFS('Przypadki testowe'!$C$2:$C$300,"*"&amp;A116&amp;"*",'Przypadki testowe'!$K$2:$K$300,"Zaliczony"))</f>
        <v/>
      </c>
      <c r="G116" t="str">
        <f>IF(A116="","",COUNTIFS('Przypadki testowe'!$C$2:$C$300,"*"&amp;A116&amp;"*",'Przypadki testowe'!$K$2:$K$300,"Niezaliczony"))</f>
        <v/>
      </c>
      <c r="H116" t="str">
        <f t="shared" si="3"/>
        <v/>
      </c>
    </row>
    <row r="117" spans="5:8">
      <c r="E117" t="str">
        <f>IF(A117="","",COUNTIF('Przypadki testowe'!$C$2:$C$300,"*"&amp;A117&amp;"*"))</f>
        <v/>
      </c>
      <c r="F117" t="str">
        <f>IF(A117="","",COUNTIFS('Przypadki testowe'!$C$2:$C$300,"*"&amp;A117&amp;"*",'Przypadki testowe'!$K$2:$K$300,"Zaliczony"))</f>
        <v/>
      </c>
      <c r="G117" t="str">
        <f>IF(A117="","",COUNTIFS('Przypadki testowe'!$C$2:$C$300,"*"&amp;A117&amp;"*",'Przypadki testowe'!$K$2:$K$300,"Niezaliczony"))</f>
        <v/>
      </c>
      <c r="H117" t="str">
        <f t="shared" si="3"/>
        <v/>
      </c>
    </row>
    <row r="118" spans="5:8">
      <c r="E118" t="str">
        <f>IF(A118="","",COUNTIF('Przypadki testowe'!$C$2:$C$300,"*"&amp;A118&amp;"*"))</f>
        <v/>
      </c>
      <c r="F118" t="str">
        <f>IF(A118="","",COUNTIFS('Przypadki testowe'!$C$2:$C$300,"*"&amp;A118&amp;"*",'Przypadki testowe'!$K$2:$K$300,"Zaliczony"))</f>
        <v/>
      </c>
      <c r="G118" t="str">
        <f>IF(A118="","",COUNTIFS('Przypadki testowe'!$C$2:$C$300,"*"&amp;A118&amp;"*",'Przypadki testowe'!$K$2:$K$300,"Niezaliczony"))</f>
        <v/>
      </c>
      <c r="H118" t="str">
        <f t="shared" si="3"/>
        <v/>
      </c>
    </row>
    <row r="119" spans="5:8">
      <c r="E119" t="str">
        <f>IF(A119="","",COUNTIF('Przypadki testowe'!$C$2:$C$300,"*"&amp;A119&amp;"*"))</f>
        <v/>
      </c>
      <c r="F119" t="str">
        <f>IF(A119="","",COUNTIFS('Przypadki testowe'!$C$2:$C$300,"*"&amp;A119&amp;"*",'Przypadki testowe'!$K$2:$K$300,"Zaliczony"))</f>
        <v/>
      </c>
      <c r="G119" t="str">
        <f>IF(A119="","",COUNTIFS('Przypadki testowe'!$C$2:$C$300,"*"&amp;A119&amp;"*",'Przypadki testowe'!$K$2:$K$300,"Niezaliczony"))</f>
        <v/>
      </c>
      <c r="H119" t="str">
        <f t="shared" si="3"/>
        <v/>
      </c>
    </row>
    <row r="120" spans="5:8">
      <c r="E120" t="str">
        <f>IF(A120="","",COUNTIF('Przypadki testowe'!$C$2:$C$300,"*"&amp;A120&amp;"*"))</f>
        <v/>
      </c>
      <c r="F120" t="str">
        <f>IF(A120="","",COUNTIFS('Przypadki testowe'!$C$2:$C$300,"*"&amp;A120&amp;"*",'Przypadki testowe'!$K$2:$K$300,"Zaliczony"))</f>
        <v/>
      </c>
      <c r="G120" t="str">
        <f>IF(A120="","",COUNTIFS('Przypadki testowe'!$C$2:$C$300,"*"&amp;A120&amp;"*",'Przypadki testowe'!$K$2:$K$300,"Niezaliczony"))</f>
        <v/>
      </c>
      <c r="H120" t="str">
        <f t="shared" si="3"/>
        <v/>
      </c>
    </row>
  </sheetData>
  <autoFilter ref="A1:I1" xr:uid="{00000000-0009-0000-0000-000004000000}"/>
  <dataValidations count="1">
    <dataValidation type="list" allowBlank="1" showInputMessage="1" showErrorMessage="1" errorTitle="Priorytet" error="Wybierz wartość z listy rozwijanej." promptTitle="Priorytet" prompt="Wybierz z listy" sqref="C2:C300" xr:uid="{00000000-0002-0000-0400-000000000000}">
      <formula1>"Wysoki,Średni,Niski"</formula1>
      <formula2>0</formula2>
    </dataValidation>
  </dataValidation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8"/>
  <sheetViews>
    <sheetView zoomScaleNormal="100" workbookViewId="0">
      <pane ySplit="10" topLeftCell="A15" activePane="bottomLeft" state="frozen"/>
      <selection pane="bottomLeft" activeCell="C21" sqref="C21"/>
    </sheetView>
  </sheetViews>
  <sheetFormatPr defaultColWidth="8.6640625" defaultRowHeight="14.4"/>
  <cols>
    <col min="1" max="1" width="22" customWidth="1"/>
    <col min="2" max="2" width="40" customWidth="1"/>
    <col min="3" max="3" width="45" customWidth="1"/>
    <col min="4" max="4" width="16" customWidth="1"/>
    <col min="5" max="5" width="20" customWidth="1"/>
    <col min="6" max="6" width="10" customWidth="1"/>
  </cols>
  <sheetData>
    <row r="1" spans="1:6" ht="31.5" customHeight="1">
      <c r="A1" s="7" t="s">
        <v>108</v>
      </c>
      <c r="B1" s="7" t="s">
        <v>109</v>
      </c>
    </row>
    <row r="2" spans="1:6" ht="15" customHeight="1">
      <c r="A2" s="12" t="s">
        <v>110</v>
      </c>
      <c r="B2" s="30" t="s">
        <v>111</v>
      </c>
      <c r="C2" s="30"/>
      <c r="D2" s="30"/>
      <c r="E2" s="30"/>
      <c r="F2" s="30"/>
    </row>
    <row r="3" spans="1:6" ht="30" customHeight="1">
      <c r="A3" s="12" t="s">
        <v>112</v>
      </c>
      <c r="B3" s="30" t="s">
        <v>113</v>
      </c>
      <c r="C3" s="30"/>
      <c r="D3" s="30"/>
      <c r="E3" s="30"/>
      <c r="F3" s="30"/>
    </row>
    <row r="4" spans="1:6" ht="15" customHeight="1">
      <c r="A4" s="12" t="s">
        <v>114</v>
      </c>
      <c r="B4" s="30" t="s">
        <v>115</v>
      </c>
      <c r="C4" s="30"/>
      <c r="D4" s="30"/>
      <c r="E4" s="30"/>
      <c r="F4" s="30"/>
    </row>
    <row r="5" spans="1:6">
      <c r="A5" s="12" t="s">
        <v>116</v>
      </c>
      <c r="B5" s="1" t="s">
        <v>117</v>
      </c>
    </row>
    <row r="6" spans="1:6">
      <c r="A6" s="12" t="s">
        <v>118</v>
      </c>
      <c r="B6" s="1"/>
    </row>
    <row r="7" spans="1:6">
      <c r="A7" s="12" t="s">
        <v>119</v>
      </c>
      <c r="B7" s="1"/>
    </row>
    <row r="10" spans="1:6" ht="31.5" customHeight="1">
      <c r="A10" s="7" t="s">
        <v>35</v>
      </c>
      <c r="B10" s="7" t="s">
        <v>120</v>
      </c>
      <c r="C10" s="7" t="s">
        <v>121</v>
      </c>
      <c r="D10" s="7" t="s">
        <v>122</v>
      </c>
      <c r="E10" s="7" t="s">
        <v>123</v>
      </c>
      <c r="F10" s="7" t="s">
        <v>124</v>
      </c>
    </row>
    <row r="11" spans="1:6" ht="43.2">
      <c r="A11" s="8">
        <v>1</v>
      </c>
      <c r="B11" s="8" t="s">
        <v>125</v>
      </c>
      <c r="C11" s="8" t="s">
        <v>126</v>
      </c>
      <c r="D11" s="8" t="s">
        <v>127</v>
      </c>
      <c r="E11" s="8"/>
      <c r="F11" s="8" t="s">
        <v>128</v>
      </c>
    </row>
    <row r="12" spans="1:6" ht="25.8" customHeight="1">
      <c r="A12">
        <v>2</v>
      </c>
      <c r="B12" t="s">
        <v>495</v>
      </c>
      <c r="C12" s="22" t="s">
        <v>501</v>
      </c>
      <c r="D12" t="s">
        <v>502</v>
      </c>
      <c r="E12" t="s">
        <v>419</v>
      </c>
      <c r="F12">
        <v>3</v>
      </c>
    </row>
    <row r="13" spans="1:6" ht="28.8" customHeight="1">
      <c r="A13" s="8">
        <v>3</v>
      </c>
      <c r="B13" t="s">
        <v>496</v>
      </c>
      <c r="C13" s="22" t="s">
        <v>503</v>
      </c>
      <c r="D13" t="s">
        <v>127</v>
      </c>
      <c r="F13">
        <v>2</v>
      </c>
    </row>
    <row r="14" spans="1:6" ht="30" customHeight="1">
      <c r="A14">
        <v>4</v>
      </c>
      <c r="B14" t="s">
        <v>497</v>
      </c>
      <c r="C14" s="22" t="s">
        <v>504</v>
      </c>
      <c r="D14" t="s">
        <v>502</v>
      </c>
      <c r="E14" t="s">
        <v>138</v>
      </c>
      <c r="F14">
        <v>3</v>
      </c>
    </row>
    <row r="15" spans="1:6" ht="28.8">
      <c r="A15" s="8">
        <v>5</v>
      </c>
      <c r="B15" t="s">
        <v>498</v>
      </c>
      <c r="C15" s="33" t="s">
        <v>506</v>
      </c>
      <c r="D15" t="s">
        <v>502</v>
      </c>
      <c r="E15" t="s">
        <v>470</v>
      </c>
      <c r="F15">
        <v>3</v>
      </c>
    </row>
    <row r="16" spans="1:6" ht="28.8">
      <c r="A16">
        <v>6</v>
      </c>
      <c r="B16" t="s">
        <v>499</v>
      </c>
      <c r="C16" s="33" t="s">
        <v>505</v>
      </c>
      <c r="D16" t="s">
        <v>502</v>
      </c>
      <c r="E16" t="s">
        <v>474</v>
      </c>
      <c r="F16">
        <v>2</v>
      </c>
    </row>
    <row r="17" spans="1:6" ht="28.8">
      <c r="A17" s="8">
        <v>7</v>
      </c>
      <c r="B17" t="s">
        <v>270</v>
      </c>
      <c r="C17" s="33" t="s">
        <v>507</v>
      </c>
      <c r="D17" t="s">
        <v>502</v>
      </c>
      <c r="E17" t="s">
        <v>475</v>
      </c>
      <c r="F17">
        <v>3</v>
      </c>
    </row>
    <row r="18" spans="1:6" ht="28.8">
      <c r="A18">
        <v>8</v>
      </c>
      <c r="B18" t="s">
        <v>500</v>
      </c>
      <c r="C18" s="33" t="s">
        <v>508</v>
      </c>
      <c r="D18" t="s">
        <v>502</v>
      </c>
      <c r="E18" t="s">
        <v>418</v>
      </c>
      <c r="F18">
        <v>2</v>
      </c>
    </row>
  </sheetData>
  <mergeCells count="3">
    <mergeCell ref="B2:F2"/>
    <mergeCell ref="B3:F3"/>
    <mergeCell ref="B4:F4"/>
  </mergeCells>
  <dataValidations count="1">
    <dataValidation type="list" allowBlank="1" showErrorMessage="1" errorTitle="Ocena" error="Wybierz wartość z listy rozwijanej." promptTitle="Ocena" prompt="Wybierz z listy" sqref="D11:D200" xr:uid="{00000000-0002-0000-0500-000000000000}">
      <formula1>"OK,Kandydat na defekt,Pytanie"</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8"/>
  <sheetViews>
    <sheetView tabSelected="1" zoomScaleNormal="100" workbookViewId="0">
      <pane xSplit="2" ySplit="1" topLeftCell="J2" activePane="bottomRight" state="frozen"/>
      <selection pane="topRight" activeCell="C1" sqref="C1"/>
      <selection pane="bottomLeft" activeCell="A2" sqref="A2"/>
      <selection pane="bottomRight" activeCell="O3" sqref="O3"/>
    </sheetView>
  </sheetViews>
  <sheetFormatPr defaultColWidth="8.6640625" defaultRowHeight="14.4"/>
  <cols>
    <col min="1" max="1" width="10" customWidth="1"/>
    <col min="2" max="2" width="40.5546875" customWidth="1"/>
    <col min="3" max="3" width="11" customWidth="1"/>
    <col min="4" max="4" width="13" customWidth="1"/>
    <col min="5" max="5" width="28" customWidth="1"/>
    <col min="6" max="6" width="26" customWidth="1"/>
    <col min="7" max="7" width="22" customWidth="1"/>
    <col min="8" max="8" width="44" customWidth="1"/>
    <col min="9" max="9" width="34" customWidth="1"/>
    <col min="10" max="10" width="38" customWidth="1"/>
    <col min="11" max="11" width="11" customWidth="1"/>
    <col min="12" max="12" width="10" customWidth="1"/>
    <col min="13" max="13" width="12" customWidth="1"/>
    <col min="14" max="14" width="13" customWidth="1"/>
    <col min="15" max="16" width="18" customWidth="1"/>
    <col min="17" max="17" width="32" customWidth="1"/>
  </cols>
  <sheetData>
    <row r="1" spans="1:17" ht="31.5" customHeight="1">
      <c r="A1" s="9" t="s">
        <v>44</v>
      </c>
      <c r="B1" s="9" t="s">
        <v>129</v>
      </c>
      <c r="C1" s="9" t="s">
        <v>119</v>
      </c>
      <c r="D1" s="9" t="s">
        <v>130</v>
      </c>
      <c r="E1" s="9" t="s">
        <v>131</v>
      </c>
      <c r="F1" s="9" t="s">
        <v>132</v>
      </c>
      <c r="G1" s="9" t="s">
        <v>55</v>
      </c>
      <c r="H1" s="9" t="s">
        <v>133</v>
      </c>
      <c r="I1" s="9" t="s">
        <v>58</v>
      </c>
      <c r="J1" s="9" t="s">
        <v>59</v>
      </c>
      <c r="K1" s="9" t="s">
        <v>134</v>
      </c>
      <c r="L1" s="9" t="s">
        <v>46</v>
      </c>
      <c r="M1" s="9" t="s">
        <v>135</v>
      </c>
      <c r="N1" s="9" t="s">
        <v>60</v>
      </c>
      <c r="O1" s="9" t="s">
        <v>136</v>
      </c>
      <c r="P1" s="9" t="s">
        <v>137</v>
      </c>
      <c r="Q1" s="9" t="s">
        <v>47</v>
      </c>
    </row>
    <row r="2" spans="1:17" ht="72">
      <c r="A2" s="10" t="s">
        <v>138</v>
      </c>
      <c r="B2" s="10" t="s">
        <v>560</v>
      </c>
      <c r="C2" s="10" t="s">
        <v>139</v>
      </c>
      <c r="D2" s="10" t="s">
        <v>140</v>
      </c>
      <c r="E2" s="35" t="s">
        <v>567</v>
      </c>
      <c r="F2" s="10" t="s">
        <v>553</v>
      </c>
      <c r="G2" s="10" t="s">
        <v>574</v>
      </c>
      <c r="H2" s="10" t="s">
        <v>575</v>
      </c>
      <c r="I2" s="10" t="s">
        <v>582</v>
      </c>
      <c r="J2" s="10" t="s">
        <v>583</v>
      </c>
      <c r="K2" s="10" t="s">
        <v>141</v>
      </c>
      <c r="L2" s="10" t="s">
        <v>67</v>
      </c>
      <c r="M2" s="10" t="s">
        <v>142</v>
      </c>
      <c r="N2" s="10" t="s">
        <v>143</v>
      </c>
      <c r="O2" s="10" t="s">
        <v>144</v>
      </c>
      <c r="P2" s="10" t="s">
        <v>145</v>
      </c>
      <c r="Q2" s="10" t="s">
        <v>52</v>
      </c>
    </row>
    <row r="3" spans="1:17" ht="57.6">
      <c r="A3" t="s">
        <v>470</v>
      </c>
      <c r="B3" t="s">
        <v>568</v>
      </c>
      <c r="C3" s="10" t="s">
        <v>561</v>
      </c>
      <c r="D3" s="10" t="s">
        <v>140</v>
      </c>
      <c r="E3" s="35" t="s">
        <v>567</v>
      </c>
      <c r="F3" s="10" t="s">
        <v>554</v>
      </c>
      <c r="G3" s="10" t="s">
        <v>574</v>
      </c>
      <c r="H3" s="22" t="s">
        <v>576</v>
      </c>
      <c r="I3" s="36" t="s">
        <v>584</v>
      </c>
      <c r="J3" s="36" t="s">
        <v>585</v>
      </c>
      <c r="K3" s="36" t="s">
        <v>141</v>
      </c>
      <c r="L3" s="10" t="s">
        <v>67</v>
      </c>
      <c r="M3" s="37" t="s">
        <v>142</v>
      </c>
      <c r="N3" s="37" t="s">
        <v>143</v>
      </c>
    </row>
    <row r="4" spans="1:17" ht="54.6" customHeight="1">
      <c r="A4" s="10" t="s">
        <v>475</v>
      </c>
      <c r="B4" s="22" t="s">
        <v>569</v>
      </c>
      <c r="C4" s="10" t="s">
        <v>562</v>
      </c>
      <c r="D4" s="10" t="s">
        <v>140</v>
      </c>
      <c r="E4" s="35" t="s">
        <v>567</v>
      </c>
      <c r="F4" s="10" t="s">
        <v>555</v>
      </c>
      <c r="G4" s="10" t="s">
        <v>574</v>
      </c>
      <c r="H4" s="22" t="s">
        <v>577</v>
      </c>
      <c r="I4" s="36" t="s">
        <v>587</v>
      </c>
      <c r="J4" s="36" t="s">
        <v>586</v>
      </c>
      <c r="K4" s="36" t="s">
        <v>141</v>
      </c>
      <c r="L4" s="10" t="s">
        <v>67</v>
      </c>
      <c r="M4" s="37" t="s">
        <v>142</v>
      </c>
      <c r="N4" s="37" t="s">
        <v>143</v>
      </c>
    </row>
    <row r="5" spans="1:17" ht="55.8" customHeight="1">
      <c r="A5" t="s">
        <v>474</v>
      </c>
      <c r="B5" s="22" t="s">
        <v>570</v>
      </c>
      <c r="C5" s="10" t="s">
        <v>563</v>
      </c>
      <c r="D5" s="10" t="s">
        <v>140</v>
      </c>
      <c r="E5" s="35" t="s">
        <v>567</v>
      </c>
      <c r="F5" s="10" t="s">
        <v>556</v>
      </c>
      <c r="G5" s="10" t="s">
        <v>574</v>
      </c>
      <c r="H5" s="22" t="s">
        <v>578</v>
      </c>
      <c r="I5" s="36" t="s">
        <v>588</v>
      </c>
      <c r="J5" s="36" t="s">
        <v>589</v>
      </c>
      <c r="K5" s="36" t="s">
        <v>141</v>
      </c>
      <c r="L5" s="10" t="s">
        <v>67</v>
      </c>
      <c r="M5" s="37" t="s">
        <v>142</v>
      </c>
      <c r="N5" s="37" t="s">
        <v>143</v>
      </c>
    </row>
    <row r="6" spans="1:17" ht="43.2">
      <c r="A6" s="10" t="s">
        <v>419</v>
      </c>
      <c r="B6" t="s">
        <v>571</v>
      </c>
      <c r="C6" s="10" t="s">
        <v>564</v>
      </c>
      <c r="D6" s="10" t="s">
        <v>140</v>
      </c>
      <c r="E6" s="35" t="s">
        <v>567</v>
      </c>
      <c r="F6" s="10" t="s">
        <v>557</v>
      </c>
      <c r="G6" s="10" t="s">
        <v>574</v>
      </c>
      <c r="H6" s="22" t="s">
        <v>579</v>
      </c>
      <c r="I6" s="36" t="s">
        <v>590</v>
      </c>
      <c r="J6" s="36" t="s">
        <v>591</v>
      </c>
      <c r="K6" s="36" t="s">
        <v>141</v>
      </c>
      <c r="L6" s="10" t="s">
        <v>67</v>
      </c>
      <c r="M6" s="37" t="s">
        <v>142</v>
      </c>
      <c r="N6" s="37" t="s">
        <v>143</v>
      </c>
    </row>
    <row r="7" spans="1:17" ht="57.6" customHeight="1">
      <c r="A7" t="s">
        <v>418</v>
      </c>
      <c r="B7" s="22" t="s">
        <v>572</v>
      </c>
      <c r="C7" s="10" t="s">
        <v>565</v>
      </c>
      <c r="D7" s="10" t="s">
        <v>140</v>
      </c>
      <c r="E7" s="35" t="s">
        <v>567</v>
      </c>
      <c r="F7" s="10" t="s">
        <v>558</v>
      </c>
      <c r="G7" s="10" t="s">
        <v>574</v>
      </c>
      <c r="H7" s="22" t="s">
        <v>580</v>
      </c>
      <c r="I7" s="36" t="s">
        <v>592</v>
      </c>
      <c r="J7" s="36" t="s">
        <v>593</v>
      </c>
      <c r="K7" s="36" t="s">
        <v>141</v>
      </c>
      <c r="L7" s="10" t="s">
        <v>67</v>
      </c>
      <c r="M7" s="37" t="s">
        <v>142</v>
      </c>
      <c r="N7" s="37" t="s">
        <v>143</v>
      </c>
    </row>
    <row r="8" spans="1:17" ht="43.2">
      <c r="A8" s="10" t="s">
        <v>464</v>
      </c>
      <c r="B8" s="33" t="s">
        <v>573</v>
      </c>
      <c r="C8" s="10" t="s">
        <v>566</v>
      </c>
      <c r="D8" s="10" t="s">
        <v>140</v>
      </c>
      <c r="E8" s="35" t="s">
        <v>567</v>
      </c>
      <c r="F8" s="10" t="s">
        <v>559</v>
      </c>
      <c r="G8" s="10" t="s">
        <v>574</v>
      </c>
      <c r="H8" s="22" t="s">
        <v>581</v>
      </c>
      <c r="I8" s="36" t="s">
        <v>594</v>
      </c>
      <c r="J8" s="36" t="s">
        <v>595</v>
      </c>
      <c r="K8" s="36" t="s">
        <v>141</v>
      </c>
      <c r="L8" s="10" t="s">
        <v>67</v>
      </c>
      <c r="M8" s="37" t="s">
        <v>142</v>
      </c>
      <c r="N8" s="37" t="s">
        <v>143</v>
      </c>
    </row>
  </sheetData>
  <autoFilter ref="A1:Q1" xr:uid="{00000000-0009-0000-0000-000006000000}"/>
  <phoneticPr fontId="7" type="noConversion"/>
  <dataValidations xWindow="1145" yWindow="569" count="4">
    <dataValidation type="list" allowBlank="1" showInputMessage="1" showErrorMessage="1" errorTitle="Ważność" error="Wybierz wartość z listy rozwijanej." promptTitle="Ważność" prompt="Wybierz z listy" sqref="K2:K300" xr:uid="{00000000-0002-0000-0600-000000000000}">
      <formula1>"Krytyczna,Wysoka,Średnia,Niska"</formula1>
      <formula2>0</formula2>
    </dataValidation>
    <dataValidation type="list" allowBlank="1" showInputMessage="1" showErrorMessage="1" errorTitle="Priorytet" error="Wybierz wartość z listy rozwijanej." promptTitle="Priorytet" prompt="Wybierz z listy" sqref="L2:L300" xr:uid="{00000000-0002-0000-0600-000001000000}">
      <formula1>"Wysoki,Średni,Niski"</formula1>
      <formula2>0</formula2>
    </dataValidation>
    <dataValidation type="list" allowBlank="1" showInputMessage="1" showErrorMessage="1" errorTitle="Powtarzalność" error="Wybierz wartość z listy rozwijanej." promptTitle="Powtarzalność" prompt="Wybierz z listy" sqref="M2:M300" xr:uid="{00000000-0002-0000-0600-000002000000}">
      <formula1>"Zawsze,Czasami,Jednorazowo"</formula1>
      <formula2>0</formula2>
    </dataValidation>
    <dataValidation type="list" allowBlank="1" showInputMessage="1" showErrorMessage="1" errorTitle="Status" error="Wybierz wartość z listy rozwijanej." promptTitle="Status" prompt="Wybierz z listy" sqref="N2:N300" xr:uid="{00000000-0002-0000-0600-000003000000}">
      <formula1>"Nowy,Otwarty,W naprawie,Naprawiony,Do retestu,Zamknięty,Odrzucony,Odroczony,Ponownie otwarty"</formula1>
      <formula2>0</formula2>
    </dataValidation>
  </dataValidation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11"/>
  <sheetViews>
    <sheetView zoomScaleNormal="100" workbookViewId="0">
      <pane ySplit="1" topLeftCell="A2" activePane="bottomLeft" state="frozen"/>
      <selection pane="bottomLeft" activeCell="C16" sqref="C16"/>
    </sheetView>
  </sheetViews>
  <sheetFormatPr defaultColWidth="8.6640625" defaultRowHeight="14.4"/>
  <cols>
    <col min="1" max="1" width="8" customWidth="1"/>
    <col min="2" max="2" width="16" customWidth="1"/>
    <col min="3" max="3" width="62" customWidth="1"/>
    <col min="4" max="4" width="14" customWidth="1"/>
    <col min="5" max="5" width="52" customWidth="1"/>
    <col min="6" max="6" width="11" customWidth="1"/>
  </cols>
  <sheetData>
    <row r="1" spans="1:6" ht="31.5" customHeight="1">
      <c r="A1" s="9" t="s">
        <v>35</v>
      </c>
      <c r="B1" s="9" t="s">
        <v>146</v>
      </c>
      <c r="C1" s="9" t="s">
        <v>147</v>
      </c>
      <c r="D1" s="9" t="s">
        <v>148</v>
      </c>
      <c r="E1" s="9" t="s">
        <v>149</v>
      </c>
      <c r="F1" s="9" t="s">
        <v>61</v>
      </c>
    </row>
    <row r="2" spans="1:6">
      <c r="A2" s="10" t="s">
        <v>150</v>
      </c>
      <c r="B2" s="10" t="s">
        <v>524</v>
      </c>
      <c r="C2" s="10" t="s">
        <v>531</v>
      </c>
      <c r="D2" s="10" t="s">
        <v>533</v>
      </c>
      <c r="E2" s="10" t="s">
        <v>532</v>
      </c>
      <c r="F2" s="10" t="s">
        <v>138</v>
      </c>
    </row>
    <row r="3" spans="1:6">
      <c r="A3" s="10" t="s">
        <v>515</v>
      </c>
      <c r="B3" t="s">
        <v>525</v>
      </c>
      <c r="C3" t="s">
        <v>535</v>
      </c>
      <c r="D3" t="s">
        <v>533</v>
      </c>
      <c r="E3" t="s">
        <v>537</v>
      </c>
      <c r="F3" t="s">
        <v>470</v>
      </c>
    </row>
    <row r="4" spans="1:6">
      <c r="A4" s="10" t="s">
        <v>516</v>
      </c>
      <c r="B4" t="s">
        <v>525</v>
      </c>
      <c r="C4" t="s">
        <v>536</v>
      </c>
      <c r="D4" t="s">
        <v>533</v>
      </c>
      <c r="E4" t="s">
        <v>538</v>
      </c>
      <c r="F4" t="s">
        <v>475</v>
      </c>
    </row>
    <row r="5" spans="1:6">
      <c r="A5" s="10" t="s">
        <v>517</v>
      </c>
      <c r="B5" t="s">
        <v>526</v>
      </c>
      <c r="C5" t="s">
        <v>552</v>
      </c>
      <c r="D5" t="s">
        <v>533</v>
      </c>
      <c r="E5" t="s">
        <v>539</v>
      </c>
      <c r="F5" s="10" t="s">
        <v>474</v>
      </c>
    </row>
    <row r="6" spans="1:6">
      <c r="A6" s="10" t="s">
        <v>518</v>
      </c>
      <c r="B6" t="s">
        <v>527</v>
      </c>
      <c r="C6" t="s">
        <v>551</v>
      </c>
      <c r="D6" t="s">
        <v>533</v>
      </c>
      <c r="E6" t="s">
        <v>540</v>
      </c>
      <c r="F6" t="s">
        <v>419</v>
      </c>
    </row>
    <row r="7" spans="1:6">
      <c r="A7" s="10" t="s">
        <v>519</v>
      </c>
      <c r="B7" t="s">
        <v>528</v>
      </c>
      <c r="C7" t="s">
        <v>550</v>
      </c>
      <c r="D7" t="s">
        <v>533</v>
      </c>
      <c r="E7" t="s">
        <v>541</v>
      </c>
      <c r="F7" t="s">
        <v>418</v>
      </c>
    </row>
    <row r="8" spans="1:6">
      <c r="A8" s="10" t="s">
        <v>520</v>
      </c>
      <c r="B8" t="s">
        <v>529</v>
      </c>
      <c r="C8" t="s">
        <v>549</v>
      </c>
      <c r="D8" t="s">
        <v>533</v>
      </c>
      <c r="E8" t="s">
        <v>542</v>
      </c>
      <c r="F8" s="10" t="s">
        <v>464</v>
      </c>
    </row>
    <row r="9" spans="1:6">
      <c r="A9" s="10" t="s">
        <v>521</v>
      </c>
      <c r="B9" t="s">
        <v>524</v>
      </c>
      <c r="C9" t="s">
        <v>548</v>
      </c>
      <c r="D9" t="s">
        <v>534</v>
      </c>
      <c r="E9" t="s">
        <v>543</v>
      </c>
    </row>
    <row r="10" spans="1:6">
      <c r="A10" s="10" t="s">
        <v>522</v>
      </c>
      <c r="B10" t="s">
        <v>524</v>
      </c>
      <c r="C10" t="s">
        <v>547</v>
      </c>
      <c r="D10" t="s">
        <v>534</v>
      </c>
      <c r="E10" t="s">
        <v>544</v>
      </c>
    </row>
    <row r="11" spans="1:6">
      <c r="A11" s="10" t="s">
        <v>523</v>
      </c>
      <c r="B11" t="s">
        <v>530</v>
      </c>
      <c r="C11" t="s">
        <v>546</v>
      </c>
      <c r="D11" t="s">
        <v>534</v>
      </c>
      <c r="E11" t="s">
        <v>545</v>
      </c>
    </row>
  </sheetData>
  <autoFilter ref="A1:F1" xr:uid="{00000000-0009-0000-0000-000007000000}"/>
  <phoneticPr fontId="7" type="noConversion"/>
  <dataValidations count="1">
    <dataValidation type="list" allowBlank="1" showInputMessage="1" showErrorMessage="1" errorTitle="Wynik" error="Wybierz wartość z listy rozwijanej." promptTitle="Wynik" prompt="Wybierz z listy" sqref="D2:D300" xr:uid="{00000000-0002-0000-0700-000000000000}">
      <formula1>"Tak,Nie,Nie dotyczy,Nie sprawdzono"</formula1>
      <formula2>0</formula2>
    </dataValidation>
  </dataValidations>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C37"/>
  <sheetViews>
    <sheetView zoomScaleNormal="100" workbookViewId="0">
      <pane ySplit="1" topLeftCell="A2" activePane="bottomLeft" state="frozen"/>
      <selection pane="bottomLeft" activeCell="E36" sqref="E36"/>
    </sheetView>
  </sheetViews>
  <sheetFormatPr defaultColWidth="8.6640625" defaultRowHeight="14.4"/>
  <cols>
    <col min="1" max="1" width="42" customWidth="1"/>
    <col min="2" max="2" width="22" customWidth="1"/>
    <col min="3" max="3" width="80" customWidth="1"/>
  </cols>
  <sheetData>
    <row r="1" spans="1:3" ht="31.5" customHeight="1">
      <c r="A1" s="9" t="s">
        <v>151</v>
      </c>
      <c r="B1" s="9" t="s">
        <v>152</v>
      </c>
      <c r="C1" s="9" t="s">
        <v>153</v>
      </c>
    </row>
    <row r="2" spans="1:3">
      <c r="A2" s="13" t="s">
        <v>154</v>
      </c>
      <c r="B2" s="14"/>
      <c r="C2" s="14"/>
    </row>
    <row r="3" spans="1:3">
      <c r="A3" s="15" t="s">
        <v>155</v>
      </c>
      <c r="B3" s="11" t="s">
        <v>509</v>
      </c>
      <c r="C3" s="11"/>
    </row>
    <row r="4" spans="1:3">
      <c r="A4" s="15" t="s">
        <v>156</v>
      </c>
      <c r="B4" s="11" t="s">
        <v>510</v>
      </c>
      <c r="C4" s="11"/>
    </row>
    <row r="5" spans="1:3">
      <c r="A5" s="15" t="s">
        <v>157</v>
      </c>
      <c r="B5" s="34">
        <v>46302</v>
      </c>
      <c r="C5" s="11"/>
    </row>
    <row r="6" spans="1:3">
      <c r="A6" s="15" t="s">
        <v>158</v>
      </c>
      <c r="B6" s="11" t="s">
        <v>279</v>
      </c>
      <c r="C6" s="11"/>
    </row>
    <row r="7" spans="1:3">
      <c r="A7" s="13" t="s">
        <v>159</v>
      </c>
      <c r="B7" s="14"/>
      <c r="C7" s="14"/>
    </row>
    <row r="8" spans="1:3">
      <c r="A8" s="15" t="s">
        <v>160</v>
      </c>
      <c r="B8" s="11">
        <f>COUNTA('Przypadki testowe'!A2:A300)</f>
        <v>33</v>
      </c>
      <c r="C8" s="11"/>
    </row>
    <row r="9" spans="1:3">
      <c r="A9" s="15" t="s">
        <v>77</v>
      </c>
      <c r="B9" s="11">
        <f>COUNTIF('Przypadki testowe'!K2:K300,"Zaliczony")</f>
        <v>26</v>
      </c>
      <c r="C9" s="11"/>
    </row>
    <row r="10" spans="1:3">
      <c r="A10" s="15" t="s">
        <v>78</v>
      </c>
      <c r="B10" s="11">
        <f>COUNTIF('Przypadki testowe'!K2:K300,"Niezaliczony")</f>
        <v>7</v>
      </c>
      <c r="C10" s="11"/>
    </row>
    <row r="11" spans="1:3">
      <c r="A11" s="15" t="s">
        <v>161</v>
      </c>
      <c r="B11" s="11">
        <f>COUNTIF('Przypadki testowe'!K2:K300,"Zablokowany")</f>
        <v>0</v>
      </c>
      <c r="C11" s="11"/>
    </row>
    <row r="12" spans="1:3">
      <c r="A12" s="15" t="s">
        <v>162</v>
      </c>
      <c r="B12" s="11">
        <f>COUNTIF('Przypadki testowe'!K2:K300,"Pominięty")</f>
        <v>0</v>
      </c>
      <c r="C12" s="11"/>
    </row>
    <row r="13" spans="1:3">
      <c r="A13" s="15" t="s">
        <v>72</v>
      </c>
      <c r="B13" s="11">
        <f>COUNTIF('Przypadki testowe'!K2:K300,"Nie wykonano")</f>
        <v>0</v>
      </c>
      <c r="C13" s="11"/>
    </row>
    <row r="14" spans="1:3">
      <c r="A14" s="15" t="s">
        <v>163</v>
      </c>
      <c r="B14" s="16">
        <f>IFERROR((B9+B10)/B8,0)</f>
        <v>1</v>
      </c>
      <c r="C14" s="11"/>
    </row>
    <row r="15" spans="1:3">
      <c r="A15" s="15" t="s">
        <v>164</v>
      </c>
      <c r="B15" s="16">
        <f>IFERROR(B9/(B9+B10),0)</f>
        <v>0.78787878787878785</v>
      </c>
      <c r="C15" s="11"/>
    </row>
    <row r="16" spans="1:3">
      <c r="A16" s="13" t="s">
        <v>165</v>
      </c>
      <c r="B16" s="14"/>
      <c r="C16" s="14"/>
    </row>
    <row r="17" spans="1:3">
      <c r="A17" s="15" t="s">
        <v>166</v>
      </c>
      <c r="B17" s="11">
        <f>COUNTA('Macierz śledzenia'!A2:A300)</f>
        <v>15</v>
      </c>
      <c r="C17" s="11"/>
    </row>
    <row r="18" spans="1:3">
      <c r="A18" s="15" t="s">
        <v>167</v>
      </c>
      <c r="B18" s="11">
        <f>COUNTIF('Macierz śledzenia'!H2:H300,"Pokryte")</f>
        <v>15</v>
      </c>
      <c r="C18" s="11"/>
    </row>
    <row r="19" spans="1:3">
      <c r="A19" s="15" t="s">
        <v>168</v>
      </c>
      <c r="B19" s="16">
        <f>IFERROR(B18/B17,0)</f>
        <v>1</v>
      </c>
      <c r="C19" s="11"/>
    </row>
    <row r="20" spans="1:3">
      <c r="A20" s="13" t="s">
        <v>169</v>
      </c>
      <c r="B20" s="14"/>
      <c r="C20" s="14"/>
    </row>
    <row r="21" spans="1:3">
      <c r="A21" s="15" t="s">
        <v>170</v>
      </c>
      <c r="B21" s="11">
        <f>COUNTA('Lista kontrolna'!A2:A300)</f>
        <v>10</v>
      </c>
      <c r="C21" s="11"/>
    </row>
    <row r="22" spans="1:3">
      <c r="A22" s="15" t="s">
        <v>171</v>
      </c>
      <c r="B22" s="11">
        <f>COUNTIF('Lista kontrolna'!D2:D300,"Tak")</f>
        <v>3</v>
      </c>
      <c r="C22" s="11"/>
    </row>
    <row r="23" spans="1:3">
      <c r="A23" s="15" t="s">
        <v>172</v>
      </c>
      <c r="B23" s="11">
        <f>COUNTIF('Lista kontrolna'!D2:D300,"Nie")</f>
        <v>7</v>
      </c>
      <c r="C23" s="11"/>
    </row>
    <row r="24" spans="1:3">
      <c r="A24" s="15" t="s">
        <v>173</v>
      </c>
      <c r="B24" s="11">
        <f>COUNTIF('Lista kontrolna'!D2:D300,"Nie dotyczy")+COUNTIF('Lista kontrolna'!D2:D300,"Nie sprawdzono")</f>
        <v>0</v>
      </c>
      <c r="C24" s="11"/>
    </row>
    <row r="25" spans="1:3">
      <c r="A25" s="13" t="s">
        <v>174</v>
      </c>
      <c r="B25" s="14"/>
      <c r="C25" s="14"/>
    </row>
    <row r="26" spans="1:3">
      <c r="A26" s="15" t="s">
        <v>175</v>
      </c>
      <c r="B26" s="11">
        <v>7</v>
      </c>
      <c r="C26" s="11"/>
    </row>
    <row r="27" spans="1:3">
      <c r="A27" s="15" t="s">
        <v>176</v>
      </c>
      <c r="B27" s="11">
        <f>COUNTIF('Raporty defektów'!K2:K300,"Krytyczna")</f>
        <v>0</v>
      </c>
      <c r="C27" s="11"/>
    </row>
    <row r="28" spans="1:3">
      <c r="A28" s="15" t="s">
        <v>177</v>
      </c>
      <c r="B28" s="11">
        <v>4</v>
      </c>
      <c r="C28" s="11"/>
    </row>
    <row r="29" spans="1:3">
      <c r="A29" s="15" t="s">
        <v>178</v>
      </c>
      <c r="B29" s="11">
        <v>1</v>
      </c>
      <c r="C29" s="11"/>
    </row>
    <row r="30" spans="1:3">
      <c r="A30" s="15" t="s">
        <v>179</v>
      </c>
      <c r="B30" s="11">
        <v>2</v>
      </c>
      <c r="C30" s="11"/>
    </row>
    <row r="31" spans="1:3">
      <c r="A31" s="15" t="s">
        <v>180</v>
      </c>
      <c r="B31" s="11">
        <f>B26-COUNTIF('Raporty defektów'!N2:N300,"Zamknięty")-COUNTIF('Raporty defektów'!N2:N300,"Odrzucony")</f>
        <v>7</v>
      </c>
      <c r="C31" s="11"/>
    </row>
    <row r="32" spans="1:3">
      <c r="A32" s="13" t="s">
        <v>181</v>
      </c>
      <c r="B32" s="14"/>
      <c r="C32" s="14"/>
    </row>
    <row r="33" spans="1:3" ht="43.2">
      <c r="A33" s="15" t="s">
        <v>182</v>
      </c>
      <c r="B33" s="11"/>
      <c r="C33" s="11" t="s">
        <v>511</v>
      </c>
    </row>
    <row r="34" spans="1:3" ht="158.4">
      <c r="A34" s="15" t="s">
        <v>183</v>
      </c>
      <c r="B34" s="11"/>
      <c r="C34" s="11" t="s">
        <v>512</v>
      </c>
    </row>
    <row r="35" spans="1:3" ht="28.8">
      <c r="A35" s="15" t="s">
        <v>184</v>
      </c>
      <c r="B35" s="11"/>
      <c r="C35" s="11" t="s">
        <v>513</v>
      </c>
    </row>
    <row r="36" spans="1:3" ht="43.2">
      <c r="A36" s="15" t="s">
        <v>185</v>
      </c>
      <c r="B36" s="11"/>
      <c r="C36" s="11" t="s">
        <v>514</v>
      </c>
    </row>
    <row r="37" spans="1:3">
      <c r="A37" s="15" t="s">
        <v>186</v>
      </c>
      <c r="B37" s="11"/>
      <c r="C37" s="11"/>
    </row>
  </sheetData>
  <autoFilter ref="A1:C1" xr:uid="{00000000-0009-0000-0000-000008000000}"/>
  <dataValidations count="1">
    <dataValidation type="list" allowBlank="1" showInputMessage="1" showErrorMessage="1" errorTitle="Kryteria wyjścia" error="Wybierz wartość z listy rozwijanej." promptTitle="Kryteria wyjścia" prompt="Wybierz z listy" sqref="B35" xr:uid="{00000000-0002-0000-0800-000000000000}">
      <formula1>"Tak,Nie,Częściowo"</formula1>
      <formula2>0</formula2>
    </dataValidation>
  </dataValidation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Arkusze</vt:lpstr>
      </vt:variant>
      <vt:variant>
        <vt:i4>9</vt:i4>
      </vt:variant>
      <vt:variant>
        <vt:lpstr>Nazwane zakresy</vt:lpstr>
      </vt:variant>
      <vt:variant>
        <vt:i4>5</vt:i4>
      </vt:variant>
    </vt:vector>
  </HeadingPairs>
  <TitlesOfParts>
    <vt:vector size="14" baseType="lpstr">
      <vt:lpstr>Instrukcja</vt:lpstr>
      <vt:lpstr>Przegląd specyfikacji</vt:lpstr>
      <vt:lpstr>Warunki testowe</vt:lpstr>
      <vt:lpstr>Przypadki testowe</vt:lpstr>
      <vt:lpstr>Macierz śledzenia</vt:lpstr>
      <vt:lpstr>Sesja eksploracyjna</vt:lpstr>
      <vt:lpstr>Raporty defektów</vt:lpstr>
      <vt:lpstr>Lista kontrolna</vt:lpstr>
      <vt:lpstr>Raport z wykonania</vt:lpstr>
      <vt:lpstr>'Lista kontrolna'!Tytuły_wydruku</vt:lpstr>
      <vt:lpstr>'Macierz śledzenia'!Tytuły_wydruku</vt:lpstr>
      <vt:lpstr>'Przypadki testowe'!Tytuły_wydruku</vt:lpstr>
      <vt:lpstr>'Raport z wykonania'!Tytuły_wydruku</vt:lpstr>
      <vt:lpstr>'Raporty defektów'!Tytuły_wydruku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Bartosz Bukowski</cp:lastModifiedBy>
  <cp:revision>0</cp:revision>
  <dcterms:created xsi:type="dcterms:W3CDTF">2026-09-27T06:27:38Z</dcterms:created>
  <dcterms:modified xsi:type="dcterms:W3CDTF">2026-10-12T10:41:16Z</dcterms:modified>
  <dc:language>en-US</dc:language>
</cp:coreProperties>
</file>